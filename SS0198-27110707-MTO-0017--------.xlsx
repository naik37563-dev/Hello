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5934\Desktop\PIPING W\PIPING MTO WEIGHT  S-0198\"/>
    </mc:Choice>
  </mc:AlternateContent>
  <bookViews>
    <workbookView xWindow="0" yWindow="0" windowWidth="24000" windowHeight="9735"/>
  </bookViews>
  <sheets>
    <sheet name="Sheet1" sheetId="3" r:id="rId1"/>
  </sheets>
  <definedNames>
    <definedName name="_xlnm.Print_Area" localSheetId="0">Sheet1!$B$2:$M$55</definedName>
    <definedName name="_xlnm.Print_Titles" localSheetId="0">Sheet1!$2:$6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00" i="3" l="1"/>
  <c r="BB100" i="3"/>
  <c r="BC99" i="3"/>
  <c r="BC98" i="3"/>
  <c r="BC97" i="3"/>
  <c r="BC96" i="3"/>
  <c r="BC95" i="3"/>
  <c r="BC94" i="3"/>
  <c r="BB86" i="3"/>
  <c r="BC85" i="3"/>
  <c r="BC84" i="3"/>
  <c r="BC83" i="3"/>
  <c r="BC82" i="3"/>
  <c r="BC81" i="3"/>
  <c r="BC80" i="3"/>
  <c r="BC79" i="3"/>
  <c r="BC78" i="3"/>
  <c r="BC77" i="3"/>
  <c r="BC76" i="3"/>
  <c r="BC75" i="3"/>
  <c r="BC86" i="3" s="1"/>
  <c r="AT114" i="3"/>
  <c r="AP107" i="3"/>
  <c r="AQ106" i="3"/>
  <c r="AQ105" i="3"/>
  <c r="AQ104" i="3"/>
  <c r="AQ103" i="3"/>
  <c r="AQ102" i="3"/>
  <c r="AQ101" i="3"/>
  <c r="AQ100" i="3"/>
  <c r="AQ99" i="3"/>
  <c r="AQ98" i="3"/>
  <c r="AQ97" i="3"/>
  <c r="AQ96" i="3"/>
  <c r="AQ107" i="3" s="1"/>
  <c r="AP88" i="3"/>
  <c r="AQ87" i="3"/>
  <c r="AQ86" i="3"/>
  <c r="AQ85" i="3"/>
  <c r="AQ84" i="3"/>
  <c r="AQ83" i="3"/>
  <c r="AQ82" i="3"/>
  <c r="AQ81" i="3"/>
  <c r="AQ80" i="3"/>
  <c r="AQ79" i="3"/>
  <c r="AQ78" i="3"/>
  <c r="AQ77" i="3"/>
  <c r="AQ88" i="3" s="1"/>
  <c r="AQ76" i="3"/>
  <c r="AQ75" i="3"/>
  <c r="AI91" i="3"/>
  <c r="AE86" i="3"/>
  <c r="AD85" i="3"/>
  <c r="AG85" i="3" s="1"/>
  <c r="AD84" i="3"/>
  <c r="AG84" i="3" s="1"/>
  <c r="AD83" i="3"/>
  <c r="AG83" i="3" s="1"/>
  <c r="AD82" i="3"/>
  <c r="AG82" i="3" s="1"/>
  <c r="AG81" i="3"/>
  <c r="AD81" i="3"/>
  <c r="AD80" i="3"/>
  <c r="AG80" i="3" s="1"/>
  <c r="AD79" i="3"/>
  <c r="AG79" i="3" s="1"/>
  <c r="AD78" i="3"/>
  <c r="AG78" i="3" s="1"/>
  <c r="AD77" i="3"/>
  <c r="AG77" i="3" s="1"/>
  <c r="AD76" i="3"/>
  <c r="AG76" i="3" s="1"/>
  <c r="AG75" i="3"/>
  <c r="AD75" i="3"/>
  <c r="X91" i="3"/>
  <c r="T86" i="3"/>
  <c r="V85" i="3"/>
  <c r="V84" i="3"/>
  <c r="V83" i="3"/>
  <c r="V82" i="3"/>
  <c r="V81" i="3"/>
  <c r="V80" i="3"/>
  <c r="V79" i="3"/>
  <c r="V78" i="3"/>
  <c r="V77" i="3"/>
  <c r="V76" i="3"/>
  <c r="V75" i="3"/>
  <c r="V86" i="3" s="1"/>
  <c r="G86" i="3"/>
  <c r="I85" i="3"/>
  <c r="I84" i="3"/>
  <c r="I83" i="3"/>
  <c r="I82" i="3"/>
  <c r="I81" i="3"/>
  <c r="I80" i="3"/>
  <c r="I79" i="3"/>
  <c r="I78" i="3"/>
  <c r="I77" i="3"/>
  <c r="I76" i="3"/>
  <c r="I75" i="3"/>
  <c r="I86" i="3" s="1"/>
  <c r="AG86" i="3" l="1"/>
  <c r="BK20" i="3" l="1"/>
  <c r="BL19" i="3"/>
  <c r="BL20" i="3" s="1"/>
  <c r="AY37" i="3" l="1"/>
  <c r="AX28" i="3"/>
  <c r="AY27" i="3"/>
  <c r="AY26" i="3"/>
  <c r="AY28" i="3" s="1"/>
  <c r="AV23" i="3"/>
  <c r="AW22" i="3"/>
  <c r="AW21" i="3"/>
  <c r="AW20" i="3"/>
  <c r="AW19" i="3"/>
  <c r="AW23" i="3" s="1"/>
  <c r="AL36" i="3" l="1"/>
  <c r="AI24" i="3"/>
  <c r="AJ23" i="3"/>
  <c r="AJ24" i="3" s="1"/>
  <c r="X38" i="3" l="1"/>
  <c r="U31" i="3"/>
  <c r="V30" i="3"/>
  <c r="V29" i="3"/>
  <c r="V28" i="3"/>
  <c r="V27" i="3"/>
  <c r="V26" i="3"/>
  <c r="V25" i="3"/>
  <c r="V24" i="3"/>
  <c r="V23" i="3"/>
  <c r="V22" i="3"/>
  <c r="V21" i="3"/>
  <c r="V20" i="3"/>
  <c r="V19" i="3"/>
  <c r="V31" i="3" l="1"/>
  <c r="I39" i="3"/>
  <c r="I43" i="3"/>
  <c r="J42" i="3"/>
  <c r="J43" i="3" s="1"/>
  <c r="J38" i="3"/>
  <c r="J37" i="3"/>
  <c r="J36" i="3"/>
  <c r="J39" i="3" l="1"/>
  <c r="J55" i="3"/>
  <c r="H20" i="3" l="1"/>
  <c r="H19" i="3" l="1"/>
  <c r="H21" i="3"/>
  <c r="H22" i="3"/>
  <c r="H23" i="3"/>
  <c r="H24" i="3"/>
  <c r="H25" i="3"/>
  <c r="H26" i="3"/>
  <c r="H27" i="3"/>
  <c r="H28" i="3"/>
  <c r="H29" i="3"/>
  <c r="H30" i="3"/>
  <c r="H31" i="3"/>
  <c r="H32" i="3"/>
  <c r="G33" i="3"/>
  <c r="H33" i="3" l="1"/>
</calcChain>
</file>

<file path=xl/sharedStrings.xml><?xml version="1.0" encoding="utf-8"?>
<sst xmlns="http://schemas.openxmlformats.org/spreadsheetml/2006/main" count="1018" uniqueCount="400">
  <si>
    <t xml:space="preserve">PROJECT:  </t>
  </si>
  <si>
    <t xml:space="preserve">ELEMENT NO : </t>
  </si>
  <si>
    <t>DOCUMENT NO:</t>
  </si>
  <si>
    <t xml:space="preserve">
ISGEC HEAVY ENGINEERING LIMITED
NOIDA  -201 301 (INDIA)
SPECIFICATIONS OF BOUGHTOUTS
</t>
  </si>
  <si>
    <t>3.    SCOPE OF SUPPLY:</t>
  </si>
  <si>
    <r>
      <t>1.</t>
    </r>
    <r>
      <rPr>
        <b/>
        <sz val="12"/>
        <rFont val="Times New Roman"/>
        <family val="1"/>
      </rPr>
      <t xml:space="preserve">    </t>
    </r>
    <r>
      <rPr>
        <b/>
        <sz val="12"/>
        <rFont val="Arial"/>
        <family val="2"/>
      </rPr>
      <t>SYSTEM DESCRIPTION:</t>
    </r>
  </si>
  <si>
    <r>
      <t>2.</t>
    </r>
    <r>
      <rPr>
        <b/>
        <sz val="12"/>
        <rFont val="Times New Roman"/>
        <family val="1"/>
      </rPr>
      <t xml:space="preserve">    </t>
    </r>
    <r>
      <rPr>
        <b/>
        <sz val="12"/>
        <rFont val="Arial"/>
        <family val="2"/>
      </rPr>
      <t>TECHNICAL SPECIFICATION:</t>
    </r>
  </si>
  <si>
    <t>THE DOCUMENT IS PO SPECIFICATION OF THE ITEMS MENTIONED BELOW &amp; WILL BE CONSIDRED AS ANNEXURE OF PURCHASE ORDER</t>
  </si>
  <si>
    <t>SSB90050</t>
  </si>
  <si>
    <t>SSB90015</t>
  </si>
  <si>
    <t>SSB90025</t>
  </si>
  <si>
    <t>SSB90065</t>
  </si>
  <si>
    <t>SSB90080</t>
  </si>
  <si>
    <t>FORMAT NO. PO-3017/OCT14</t>
  </si>
  <si>
    <t>SSB90100</t>
  </si>
  <si>
    <t>SSB90125</t>
  </si>
  <si>
    <t>SSB90150</t>
  </si>
  <si>
    <t>SSB90200</t>
  </si>
  <si>
    <t>SSB90250</t>
  </si>
  <si>
    <t>QTY. IN NOS.</t>
  </si>
  <si>
    <t>SSB90040</t>
  </si>
  <si>
    <t>5.  PACKING:</t>
  </si>
  <si>
    <t>4.  SPECIAL NOTE:</t>
  </si>
  <si>
    <t>SSB90300</t>
  </si>
  <si>
    <t>BEND 90 DEG 15NB - AISi 304 - SCH 10S- 1.5D</t>
  </si>
  <si>
    <t>BEND 90 DEG 25NB - AISi 304 - SCH 10S- 1.5D</t>
  </si>
  <si>
    <t>BEND 90 DEG 40NB - AISi 304 - SCH 10S- 1.5D</t>
  </si>
  <si>
    <t>BEND 90 DEG 50NB - AISi 304 - SCH 10S- 1.5D</t>
  </si>
  <si>
    <t>BEND 90 DEG 80NB - AISi 304 - SCH 5S- 1.5D</t>
  </si>
  <si>
    <t>BEND 90 DEG 100NB - AISi 304 - SCH 5S- 1.5D</t>
  </si>
  <si>
    <t>BEND 90 DEG 125NB - AISi 304 - SCH 5S- 1.5D</t>
  </si>
  <si>
    <t>BEND 90 DEG 150NB - AISi 304 - SCH 5S- 1.5D</t>
  </si>
  <si>
    <t>BEND 90 DEG 200NB - AISi 304 - SCH 5S- 1.5D</t>
  </si>
  <si>
    <t>BEND 90 DEG 250NB - AISi 304 - SCH 5S- 1.5D</t>
  </si>
  <si>
    <t>BEND 90 DEG 300 NB - AISi 304 - SCH 5S- 1.5D</t>
  </si>
  <si>
    <t>SUPPLY OF SS BENDS AS PER BELOW MENTIONED REQUIREMENT &amp; SPECIFICATION.</t>
  </si>
  <si>
    <t>MATERIAL OF BENDS SHALL BE AS PER AISI 304.</t>
  </si>
  <si>
    <t>DIMENSION OF BENDS SHALL BE AS PER ASME B16.9.</t>
  </si>
  <si>
    <t>BENDS SHALL HAVE BEVELLED ENDS.</t>
  </si>
  <si>
    <t>BENDS TYPE SHALL BE ERW.</t>
  </si>
  <si>
    <t>SR. NO.</t>
  </si>
  <si>
    <t>MATERIAL DESCRIPTION / SIZE(NB)</t>
  </si>
  <si>
    <t xml:space="preserve"> UNIT QTY.KG.</t>
  </si>
  <si>
    <t>WEIGHT IN KG.</t>
  </si>
  <si>
    <t>ITEM CODE</t>
  </si>
  <si>
    <t>REMARKS</t>
  </si>
  <si>
    <t>TOTAL</t>
  </si>
  <si>
    <t xml:space="preserve">SOLUTION ANNEALING TO CARRIED OUT ON ALL FITTINGS BY HEATING THE FITTINGS LOT TO 1050±10°C, SOAKING FOR 15 MINUTES (MIN) FOLLOWED BY QUENCHING IN WATER </t>
  </si>
  <si>
    <t xml:space="preserve">FITTINGS PMI TESTING SHALL BE CARRIED OUT FOR AISI 304 </t>
  </si>
  <si>
    <t xml:space="preserve">100% FITTINGS SHALL BE CHECKED FOR MAGNETIC CHARACTERITICS.  </t>
  </si>
  <si>
    <t>SUITABLE WOODEN BOX PACKING TO AVOID DAMAGE DURING LOADING, UNLOADING, TRANSIT &amp; LONG STORAGE AT SITE.</t>
  </si>
  <si>
    <t>SUPPLIER WILL PROVIDE DETAIL PACKING LIST WITH SIZE &amp; WEIGHT OF THE PACKED LOT.</t>
  </si>
  <si>
    <t>THE ABOVE SPECIFICATIONS ARE PREPARED IN COMPLIANCE WITH THE CONTRACT SPECIFICATION.</t>
  </si>
  <si>
    <t>FERRITE LIMIT SHALL BE LESS THAN 5 REQUIRED IF APPLICABLE</t>
  </si>
  <si>
    <t>BEND 90 DEG 350 NB - AISi 304 - SCH 5S- 1.5D</t>
  </si>
  <si>
    <t>BEND 90 DEG 65NB - AISi 304 - SCH 10S- 1.5D</t>
  </si>
  <si>
    <t>SSB90350</t>
  </si>
  <si>
    <t>PU CODE</t>
  </si>
  <si>
    <t>BEND 90 DEG 20NB - AISi 304 - SCH 10S- 1.5D</t>
  </si>
  <si>
    <t>SSB90020</t>
  </si>
  <si>
    <t>TFKS221590015S01S</t>
  </si>
  <si>
    <t>TFKS221590020S01S</t>
  </si>
  <si>
    <t>TFKS221590025S01S</t>
  </si>
  <si>
    <t>TFKS221590040S01S</t>
  </si>
  <si>
    <t>TFKS221590050S01S</t>
  </si>
  <si>
    <t>TFKS221590065S01S</t>
  </si>
  <si>
    <t>TFKS221590080SS5S</t>
  </si>
  <si>
    <t>TFKS221590100SS5S</t>
  </si>
  <si>
    <t>TFKS221590125SS5S</t>
  </si>
  <si>
    <t>TFKS221590150SS5S</t>
  </si>
  <si>
    <t>TFKS221590200SS5S</t>
  </si>
  <si>
    <t>TFKS221590250SS5S</t>
  </si>
  <si>
    <t>TFKS221590350SS5S</t>
  </si>
  <si>
    <t>TFKS221590300SS5S</t>
  </si>
  <si>
    <t>00</t>
  </si>
  <si>
    <t>LD</t>
  </si>
  <si>
    <t>GS-00198</t>
  </si>
  <si>
    <t>27-11-07-07</t>
  </si>
  <si>
    <t>30.04.2024</t>
  </si>
  <si>
    <t>PAVAN</t>
  </si>
  <si>
    <t>3.2.1</t>
  </si>
  <si>
    <t>3.2.2</t>
  </si>
  <si>
    <t>3.2.3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</si>
  <si>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</si>
  <si>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</si>
  <si>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</si>
  <si>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</si>
  <si>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</si>
  <si>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</si>
  <si>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</si>
  <si>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</si>
  <si>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</si>
  <si>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</si>
  <si>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</si>
  <si>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</si>
  <si>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</si>
  <si>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</si>
  <si>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SS STD BENDS  LR = 1.5D X 90 DEGREE</t>
  </si>
  <si>
    <t>SS FABRICATED BENDS  LR = 1D X 90 DEGREE</t>
  </si>
  <si>
    <t>THK (mm)</t>
  </si>
  <si>
    <t>QUANTITY</t>
  </si>
  <si>
    <t>BN040090</t>
  </si>
  <si>
    <t>TFMS251090400040S</t>
  </si>
  <si>
    <t>BN070090</t>
  </si>
  <si>
    <t>TFMS251090700050S</t>
  </si>
  <si>
    <t>DEGREE</t>
  </si>
  <si>
    <t>NO. OF SEGMENT</t>
  </si>
  <si>
    <t>UNIT WEIGHT(KGS)</t>
  </si>
  <si>
    <t>TOTAL WEIGHT (KGS)</t>
  </si>
  <si>
    <t>BN100090</t>
  </si>
  <si>
    <t>SS FABRICATED BENDS  LR = 1D X 45 DEGREE</t>
  </si>
  <si>
    <t>3.3.1</t>
  </si>
  <si>
    <t>BN045045</t>
  </si>
  <si>
    <t>PIPE OD (mm)</t>
  </si>
  <si>
    <t>SS0198-27110707-MTO-0017</t>
  </si>
  <si>
    <t>REQUIREMENT OF SS STANDARD+FABRICATED BEND FOR PROCESS PIPING - LOT 2</t>
  </si>
  <si>
    <t>ERW Elbow SS 304 1.5D 90° 015NB 10S_____::Welded Elbow Stainless steel conforming to specification AISI 304 1.5D radius 90° 15 NB and Schedule 10S thickness for SMD Piping &amp; Fittings (Specific)</t>
  </si>
  <si>
    <t>ERW Elbow SS 304 1.5D 90° 020NB 10S_____::Welded Elbow Stainless steel conforming to specification AISI 304 1.5D radius 90° 20 NB and Schedule 10S thickness for SMD Piping &amp; Fittings (Specific)</t>
  </si>
  <si>
    <t>ERW Elbow SS 304 1.5D 90° 025NB 10S_____::Welded Elbow Stainless steel conforming to specification AISI 304 1.5D radius 90° 25 NB and Schedule 10S thickness for SMD Piping &amp; Fittings (Specific)</t>
  </si>
  <si>
    <t>ERW Elbow SS 304 1.5D 90° 040NB 10S_____::Welded Elbow Stainless steel conforming to specification AISI 304 1.5D radious 90° 40 NB and Schedule 10S thickness for SMD Piping &lt;(&gt;&amp;&lt;)&gt; Fittings (Specific)</t>
  </si>
  <si>
    <t>ERW Elbow SS 304 1.5D 90° 050NB 10S_____::Welded Elbow Stainless steel conforming to specification AISI 304 1.5D radious 90° 50 NB and Schedule 10S thickness for SMD Piping &lt;(&gt;&amp;&lt;)&gt; Fittings (Specific)</t>
  </si>
  <si>
    <t>ERW Elbow SS 304 1.5D 90° 065NB 10S_____::Welded Elbow Stainless steel conforming to specification AISI 304 1.5D radious 90° 65 NB and Schedule 10S thickness for SMD Piping &lt;(&gt;&amp;&lt;)&gt; Fittings (Specific)</t>
  </si>
  <si>
    <t>ERW Elbow SS 304 1.5D 90° 080NB 5S______::Welded Elbow Stainless steel conforming to specification AISI 304 1.5D radious 90° 80 NB and Schedule 05S thickness for SMD Piping &lt;(&gt;&amp;&lt;)&gt; Fittings (Specific)</t>
  </si>
  <si>
    <t>ERW Elbow SS 304 1.5D 90° 100NB 5S______::Welded Elbow Stainless steel conforming to specification AISI 304 1.5D radious 90° 100 NB and Schedule 05S thickness for SMD Piping &lt;(&gt;&amp;&lt;)&gt; Fittings (Specific)</t>
  </si>
  <si>
    <t>ERW Elbow SS 304 1.5D 90° 125NB 5S______::Welded Elbow Stainless steel conforming to specification AISI 304 1.5D radious 90° 125 NB and Schedule 05S thickness for SMD Piping &lt;(&gt;&amp;&lt;)&gt; Fittings (Specific)</t>
  </si>
  <si>
    <t>ERW Elbow SS 304 1.5D 90° 150NB 5S______::Welded Elbow Stainless steel conforming to specification AISI 304 1.5D radious 90° 150 NB and Schedule 05S thickness for SMD Piping &lt;(&gt;&amp;&lt;)&gt; Fittings (Specific)</t>
  </si>
  <si>
    <t>ERW Elbow SS 304 1.5D 90° 200NB 5S______::Welded Elbow Stainless steel conforming to specification AISI 304 1.5D radius 90° 200 NB and Schedule 05S thickness for SMD Piping and Fittings (Specific)</t>
  </si>
  <si>
    <t>ERW Elbow SS 304 1.5D 90° 250NB 5S______::Welded Elbow Stainless steel conforming to specification AISI 304 1.5D radius 90° 250 NB and Schedule 05S thickness for SMD Piping &amp; Fittings (Specific)</t>
  </si>
  <si>
    <t>ERW Elbow SS 304 1.5D 90° 300NB 5S______::Welded Elbow Stainless steel conforming to specification AISI 304 1.5D radius 90° 300 NB and Schedule 05S thickness for SMD Piping and Fittings (Specific)</t>
  </si>
  <si>
    <t>ERW Elbow SS 304 1.5D 90° 350NB 5S______::Welded Elbow Stainless steel conforming to specification AISI 304 1.5D radius 90° 350 NB and Schedule 05S thickness for SMD Piping and Fittings (Specific)</t>
  </si>
  <si>
    <t>Mitre Bend SS Fab 1D 90° 400NB-4mm______::Mitre Bend Stainless steel conforming to specification AISI 304 FABRICATED 1D radius 90° 400 NB and 4 mm thickness for SMD Piping and Fittings (Specific)</t>
  </si>
  <si>
    <t>Mitre Bend SS Fab 1D 90° 700NB-5mm______::Mitre Bend Stainless steel conforming to specification FABRICATED 1D radius 90° 700 NB and 5 mm thickness for SMD Piping and Fittings (Specific)</t>
  </si>
  <si>
    <t>TFMS251090100050S</t>
  </si>
  <si>
    <t>Mitre Bend SS Fab 1D 90° 1000NB-5mm______::Mitre Bend Stainless steel conforming to specification AISI 304 FABRICATED 1D radius 90° 1000 NB and 5 mm thickness for SMD Piping and Fittings (Specific)</t>
  </si>
  <si>
    <t>Mitre Bend SS Fab 1D 45° 450NB-4mm______:: Mitre Bend Stainless steel conforming to specification AISI 304 FABRICATED 1D radius 45° 450 NB and 4 mm thickness for SMD Piping and Fittings</t>
  </si>
  <si>
    <t>TFMS251045450040S</t>
  </si>
  <si>
    <t>SS-00198</t>
  </si>
  <si>
    <t>09.05.2024</t>
  </si>
  <si>
    <t>11-06-2024</t>
  </si>
  <si>
    <t>REQUIREMENT OF SS STANDARD+FABRICATED BEND FOR PROCESS PIPING - LOT 1_GRAIN SECTION</t>
  </si>
  <si>
    <t>SS0198-27110707-MTO-0026</t>
  </si>
  <si>
    <t>ABHISHEK</t>
  </si>
  <si>
    <t>02.07.2024</t>
  </si>
  <si>
    <t>REQUIREMENT OF SS STANDARD BEND FOR PROCESS PIPING - LOT 1_PENDING TO ORDER</t>
  </si>
  <si>
    <t>SS0198-27110707-MTO-0028</t>
  </si>
  <si>
    <t xml:space="preserve">NOTE:- RELEASING AGAIN IN WRENCH (PENDING TO ORDER)-THESE ARE 22 NOS. BEND RELEASED IN LOT-1 (SPECIFICATION NO.:- SS0198-27110707-SPC-0001) ; </t>
  </si>
  <si>
    <t>26.09.2024</t>
  </si>
  <si>
    <t>REQUIREMENT OF SS STANDARD+FABRICATED BEND FOR PROCESS PIPING-SYRUP FINAL LOT</t>
  </si>
  <si>
    <t>SS0198-27110707-MTO-0030</t>
  </si>
  <si>
    <t>ERW Elbow SS 304 1.5D 90° 040NB 10S_____::Welded Elbow Stainless steel conforming to specification AISI 304 1.5D radious 90° 40 NB and Schedule 10S thickness for SMD Piping &lt;(&gt;&amp;&lt;)&gt; Fittings</t>
  </si>
  <si>
    <t>ERW Elbow SS 304 1.5D 90° 050NB 10S_____::Welded Elbow Stainless steel conforming to specification AISI 304 1.5D radious 90° 50 NB and Schedule 10S thickness for SMD Piping &lt;(&gt;&amp;&lt;)&gt; Fittings</t>
  </si>
  <si>
    <t>ERW Elbow SS 304 1.5D 90° 300NB 5S______::Welded Elbow Stainless steel conforming to specification AISI 304 1.5D radius 90° 300 NB and Schedule 05S thickness for SMD Piping and Fittings</t>
  </si>
  <si>
    <t>ERW Elbow SS 304 1.5D 90° 350NB 5S______::Welded Elbow Stainless steel conforming to specification AISI 304 1.5D radius 90° 350 NB and Schedule 05S thickness for SMD Piping and Fittings</t>
  </si>
  <si>
    <t>BN045090</t>
  </si>
  <si>
    <t>TFMS251090450040S</t>
  </si>
  <si>
    <t>Mitre Bend SS Fab 1D 90° 450NB-4mm______::Mitre Bend Stainless steel conforming to specification AISI 304 FABRICATED 1D radius 90° 450 NB and 4 mm thickness for SMD Piping and Fittings (Specific)</t>
  </si>
  <si>
    <t>01</t>
  </si>
  <si>
    <t>23.05.24</t>
  </si>
  <si>
    <t>REQUIREMENT OF SS-316 BEND FOR PROCESS PIPING - LOT 2</t>
  </si>
  <si>
    <t>SS0198-27110707-MTO-0023</t>
  </si>
  <si>
    <r>
      <t xml:space="preserve">MATERIAL OF BENDS SHALL BE AS PER </t>
    </r>
    <r>
      <rPr>
        <b/>
        <sz val="12"/>
        <color rgb="FFFF0000"/>
        <rFont val="Arial"/>
        <family val="2"/>
      </rPr>
      <t>AISI 316</t>
    </r>
    <r>
      <rPr>
        <sz val="12"/>
        <rFont val="Arial"/>
        <family val="2"/>
      </rPr>
      <t>.</t>
    </r>
  </si>
  <si>
    <t>TFMS231090400040S</t>
  </si>
  <si>
    <t>Mitre Bend SS-316 Fab 1D 90° 400NB-4mm__::Mitre Bend Stainless steel conforming to specification AISI 316 FABRICATED 1D radius 90° 400 NB and 4 mm thickness for SMD Piping and Fittings (Specific)</t>
  </si>
  <si>
    <r>
      <t xml:space="preserve">FITTINGS PMI TESTING SHALL BE CARRIED OUT FOR AISI </t>
    </r>
    <r>
      <rPr>
        <b/>
        <sz val="12"/>
        <color rgb="FFFF0000"/>
        <rFont val="Arial"/>
        <family val="2"/>
      </rPr>
      <t>316</t>
    </r>
  </si>
  <si>
    <t>R01:- REVISION IS DONE FOR THE CORRECTION IN MTO QTY</t>
  </si>
  <si>
    <t>23.05.2024</t>
  </si>
  <si>
    <t>FORMAT NO. PD-3017 / OCT 14</t>
  </si>
  <si>
    <t>07.02.2024</t>
  </si>
  <si>
    <t>27-11-07-06</t>
  </si>
  <si>
    <t>REQUIREMENT OF MS FLANGES(FOR SS Piping) FOR PROCESS PIPING - LOT 1_SOFF</t>
  </si>
  <si>
    <t>SS0198-27110706-MTO-0002</t>
  </si>
  <si>
    <r>
      <t>1.</t>
    </r>
    <r>
      <rPr>
        <b/>
        <sz val="12"/>
        <rFont val="Arial"/>
        <family val="2"/>
      </rPr>
      <t>SYSTEM DESCRIPTION:</t>
    </r>
  </si>
  <si>
    <t>SUPPLY OF FLANGES AS PER BELOW MENTIONED REQUIREMENT &amp; SPECIFICATION.</t>
  </si>
  <si>
    <t>2.SCOPE OF SUPPLY:</t>
  </si>
  <si>
    <t xml:space="preserve"> 2.1 MS FLANGES LAP JOINT</t>
  </si>
  <si>
    <t>a</t>
  </si>
  <si>
    <r>
      <t>ALL FLANGES SHALL BE, AS PER ANSI B16.5 &amp; B16.47, CLASS 150 #</t>
    </r>
    <r>
      <rPr>
        <b/>
        <sz val="12"/>
        <rFont val="Arial"/>
        <family val="2"/>
      </rPr>
      <t xml:space="preserve"> SOFF</t>
    </r>
  </si>
  <si>
    <t>b</t>
  </si>
  <si>
    <t>MATERIAL OF FLANGES SHALL BE AS PER IS 2062, GRADE E250 QUALITY A (KILLED)</t>
  </si>
  <si>
    <t>c</t>
  </si>
  <si>
    <t>REFER ISGEC FLANGE DRAWING NO. SS0198-27111206-COM-0009 FOR DIMENSIONS.</t>
  </si>
  <si>
    <t>FLANGE SIZE (NB)</t>
  </si>
  <si>
    <t>UNIT WEIGHT 
(KGS.)</t>
  </si>
  <si>
    <t>QUANTITY (Nos.)</t>
  </si>
  <si>
    <t>TOTAL WEIGHT (KGS.)</t>
  </si>
  <si>
    <t>2.1.1</t>
  </si>
  <si>
    <t>FLANGE 250NB - #150-SOFF IS 2062</t>
  </si>
  <si>
    <t>FMS250SO</t>
  </si>
  <si>
    <t>6151FLABSFE1XX</t>
  </si>
  <si>
    <t>SUGAR MACHINARY PART - FLANGE IS2062 GR E250A ANSI B16.5 #150 SLIP ON FLAT FACE 250 MM</t>
  </si>
  <si>
    <t>2.1.2</t>
  </si>
  <si>
    <t>FLANGE 300NB - #150- SOFF  IS 2062</t>
  </si>
  <si>
    <t>FMS300SO</t>
  </si>
  <si>
    <t>6151FLABSFF1XX</t>
  </si>
  <si>
    <t>SUGAR MACHINARY PART - FLANGE IS2062 GR E250A ANSI B16.5 #150 SLIP ON FLAT FACE 300 MM</t>
  </si>
  <si>
    <t>2.1.3</t>
  </si>
  <si>
    <t>FLANGE 350NB - #150- SOFF  IS 2062</t>
  </si>
  <si>
    <t>FMS350SO</t>
  </si>
  <si>
    <t>6151FLABSFG1XX</t>
  </si>
  <si>
    <t>SUGAR MACHINARY PART - FLANGE IS2062 GR E250A ANSI B16.5 #150 SLIP ON FLAT FACE 350 MM</t>
  </si>
  <si>
    <t>2.1.4</t>
  </si>
  <si>
    <t>FLANGE 400NB - #150- SOFF  IS 2062</t>
  </si>
  <si>
    <t>FMS400SO</t>
  </si>
  <si>
    <t>6151FLABSFH1XX</t>
  </si>
  <si>
    <t>SUGAR MACHINARY PART - FLANGE IS2062 GR E250A ANSI B16.5 #150 SLIP ON FLAT FACE 400 MM</t>
  </si>
  <si>
    <t>2.1.5</t>
  </si>
  <si>
    <t>FLANGE 450NB - #150- SOFF  IS 2062</t>
  </si>
  <si>
    <t>FMS450SO</t>
  </si>
  <si>
    <t>6151FLABSFI1XX</t>
  </si>
  <si>
    <t>SUGAR MACHINARY PART - FLANGE IS2062 GR E250A ANSI B16.5 #150 SLIP ON FLAT FACE 450 MM</t>
  </si>
  <si>
    <t>2.1.6</t>
  </si>
  <si>
    <t>FLANGE 500NB - #150- SOFF IS 2062</t>
  </si>
  <si>
    <t>FMS500SO</t>
  </si>
  <si>
    <t>6151FLABSFJ1XX</t>
  </si>
  <si>
    <t>SUGAR MACHINARY PART - FLANGE IS2062 GR E250A ANSI B16.5 #150 SLIP ON FLAT FACE 500 MM</t>
  </si>
  <si>
    <t>2.1.7</t>
  </si>
  <si>
    <t>FLANGE 600NB - #150- SOFF IS 2062</t>
  </si>
  <si>
    <t>FMS600SO</t>
  </si>
  <si>
    <t>6151FLABSFL1XX</t>
  </si>
  <si>
    <t>SUGAR MACHINARY PART - FLANGE IS2062 GR E250A ANSI B16.5 #150 SLIP ON FLAT FACE 600 MM</t>
  </si>
  <si>
    <t>2.1.8</t>
  </si>
  <si>
    <t>FLANGE 700NB - #150- SOFF IS 2062</t>
  </si>
  <si>
    <t>FMS700SO</t>
  </si>
  <si>
    <t>6151FLAASFN1XX</t>
  </si>
  <si>
    <t>SUGAR MACHINARY PART - FLANGE IS2062 GR E250A ANSI B16.47 SERIES A #150 SLIP ON FLAT FACE 700 MM</t>
  </si>
  <si>
    <t>2.1.9</t>
  </si>
  <si>
    <t>FLANGE 800NB - #150- SOFF IS 2062</t>
  </si>
  <si>
    <t>FMS800SO</t>
  </si>
  <si>
    <t>6151FLAASFP1XX</t>
  </si>
  <si>
    <t>SUGAR MACHINARY PART - FLANGE IS2062 GR E250A ANSI B16.47 SERIES A #150 SLIP ON FLAT FACE 800 MM</t>
  </si>
  <si>
    <t>2.1.10</t>
  </si>
  <si>
    <t>FLANGE 900NB - #150-SOFF IS 2062</t>
  </si>
  <si>
    <t>FMS900SO</t>
  </si>
  <si>
    <t>6151FLAASFQ1XX</t>
  </si>
  <si>
    <t>SUGAR MACHINARY PART - FLANGE IS2062 GR E250A ANSI B16.47 SERIES A #150 SLIP ON FLAT FACE 900 MM</t>
  </si>
  <si>
    <t>2.1.11</t>
  </si>
  <si>
    <t>FLANGE 1000NB - #150-SOFF IS 2062</t>
  </si>
  <si>
    <t>FMS1000S</t>
  </si>
  <si>
    <t>6151FLAASFR1XX</t>
  </si>
  <si>
    <t>SUGAR MACHINARY PART - FLANGE IS2062 GR E250A ANSI B16.47 SERIES A #150 SLIP ON FLAT FACE 1000 MM</t>
  </si>
  <si>
    <t>3  PACKING:</t>
  </si>
  <si>
    <t>SS0198</t>
  </si>
  <si>
    <t>10.05.23</t>
  </si>
  <si>
    <t>REQUIREMENT OF MS FLANGES (FOR SS Piping) FOR PROCESS PIPING - 
LOT 1_LJFF</t>
  </si>
  <si>
    <t>SS0198-27110706-SPC-0001</t>
  </si>
  <si>
    <t>2.    SCOPE OF SUPPLY:</t>
  </si>
  <si>
    <r>
      <t xml:space="preserve">ALL FLANGES SHALL BE, AS PER ANSI B16.5, CLASS 150 # </t>
    </r>
    <r>
      <rPr>
        <b/>
        <sz val="12"/>
        <rFont val="Arial"/>
        <family val="2"/>
      </rPr>
      <t>LJ-FF</t>
    </r>
  </si>
  <si>
    <t>FLANGE 15NB - #150- LJFF IS 2062</t>
  </si>
  <si>
    <t>FMS015LJ</t>
  </si>
  <si>
    <t>FLANGE 20NB - #150- LJFF IS 2062</t>
  </si>
  <si>
    <t>FMS020LJ</t>
  </si>
  <si>
    <t>FLANGE 25NB - #150- LJFF IS 2062</t>
  </si>
  <si>
    <t>FMS025LJ</t>
  </si>
  <si>
    <t>FLANGE 40NB - #150- LJFF IS 2062</t>
  </si>
  <si>
    <t>FMS040LJ</t>
  </si>
  <si>
    <t>FLANGE 50NB - #150- LJFF IS 2062</t>
  </si>
  <si>
    <t>FMS050LJ</t>
  </si>
  <si>
    <t>FLANGE 65NB - #150- LJFF IS 2062</t>
  </si>
  <si>
    <t>FMS065LJ</t>
  </si>
  <si>
    <t>FLANGE 80NB - #150- LJFF IS 2062</t>
  </si>
  <si>
    <t>FMS080LJ</t>
  </si>
  <si>
    <t>FLANGE 100NB - #150- LJFF IS 2062</t>
  </si>
  <si>
    <t>FMS100LJ</t>
  </si>
  <si>
    <t>FLANGE 125NB - #150- LJFF IS 2062</t>
  </si>
  <si>
    <t>FMS125LJ</t>
  </si>
  <si>
    <t>FLANGE 150NB - #150- LJFF IS 2062</t>
  </si>
  <si>
    <t>FMS150LJ</t>
  </si>
  <si>
    <t>FLANGE 200NB - #150- LJFF IS 2062</t>
  </si>
  <si>
    <t>FMS200LJ</t>
  </si>
  <si>
    <t>SS0198-27110706-SPC-0002</t>
  </si>
  <si>
    <r>
      <t>ALL FLANGES SHALL BE, AS PER ANSI B16.5, CLASS 150 #</t>
    </r>
    <r>
      <rPr>
        <b/>
        <sz val="12"/>
        <rFont val="Arial"/>
        <family val="2"/>
      </rPr>
      <t xml:space="preserve"> SOFF</t>
    </r>
  </si>
  <si>
    <t>FLANGE600NB - #150- SOFF IS 2062</t>
  </si>
  <si>
    <t>FLANGE700NB - #150- SOFF IS 2062</t>
  </si>
  <si>
    <t>08.05.2024</t>
  </si>
  <si>
    <t>REQUIREMENT OF MS FLANGES (FOR SS PIPING) FOR PROCESS PIPING - LOT 2</t>
  </si>
  <si>
    <t>SS0198-27110706-MTO-0020</t>
  </si>
  <si>
    <t xml:space="preserve"> 2.1 MS FLANGES</t>
  </si>
  <si>
    <r>
      <t>ALL FLANGES SHALL BE, AS PER ANSI B16.5 &amp; B16.47 SERIES A, CLASS 150 # -</t>
    </r>
    <r>
      <rPr>
        <b/>
        <sz val="12"/>
        <color rgb="FFFF0000"/>
        <rFont val="Arial"/>
        <family val="2"/>
      </rPr>
      <t>SOFF</t>
    </r>
  </si>
  <si>
    <t>ALL FLANGES SHALL BE MACHINED (SERRATED FINISH).</t>
  </si>
  <si>
    <t>d</t>
  </si>
  <si>
    <t>REFER ISGEC DRAWING SS0198-27111206-COM-0009 FOR DIMENSIONS</t>
  </si>
  <si>
    <t>WT. PER ITEM (kgs)</t>
  </si>
  <si>
    <t>QUANTITY (NOS.)</t>
  </si>
  <si>
    <t>TOTAL WT. (kgs)</t>
  </si>
  <si>
    <t>FLANGES 50 NB #150 SOFF</t>
  </si>
  <si>
    <t>FLANGE SORF 50 NB #150 RF, SERRATED FNSH.</t>
  </si>
  <si>
    <t>SOFF0050</t>
  </si>
  <si>
    <t>6151FLABSF50XX</t>
  </si>
  <si>
    <t>Flange MS E250A B16.5#150 SO FF 50MM____::SUGAR MACHINARY PART - FLANGE IS2062 GR E250A ANSI B16.5 #150 SLIP ON FLAT FACE 50 MM</t>
  </si>
  <si>
    <t>FLANGES 65 NB #150 SOFF</t>
  </si>
  <si>
    <t>FLANGE SORF 65 NB #150 RF, SERRATED FNSH.</t>
  </si>
  <si>
    <t>SOFF0065</t>
  </si>
  <si>
    <t>6151FLABSF65XX</t>
  </si>
  <si>
    <t>Flange MS E250A B16.5#150 SO FF 65MM____::SUGAR MACHINARY PART - FLANGE IS2062 GR E250A ANSI B16.5 #150 SLIP ON FLAT FACE 65 MM</t>
  </si>
  <si>
    <t>FLANGES 80 NB #150 SOFF</t>
  </si>
  <si>
    <t>FLANGE SORF 80 NB #150 RF, SERRATED FNSH.</t>
  </si>
  <si>
    <t>SOFF0080</t>
  </si>
  <si>
    <t>6151FLABSF80XX</t>
  </si>
  <si>
    <t>Flange MS E250A B16.5#150 SO FF 80MM____::SUGAR MACHINARY PART - FLANGE IS2062 GR E250A ANSI B16.5 #150 SLIP ON FLAT FACE 80 MM</t>
  </si>
  <si>
    <t>FLANGES 100 NB #150 SOFF</t>
  </si>
  <si>
    <t>FLANGE SORF 100 NB #150 RF, SERRATED FNSH.</t>
  </si>
  <si>
    <t>SOFF0100</t>
  </si>
  <si>
    <t>6151FLABSFA1XX</t>
  </si>
  <si>
    <t>Flange MS E250A B16.5#150 SO FF 100MM___::SUGAR MACHINARY PART - FLANGE IS2062 GR E250A ANSI B16.5 #150 SLIP ON FLAT FACE 100 MM</t>
  </si>
  <si>
    <t>FLANGES 125 NB #150 SOFF</t>
  </si>
  <si>
    <t>FLANGE SORF 150 NB #150 RF, SERRATED FNSH.</t>
  </si>
  <si>
    <t>SOFF0125</t>
  </si>
  <si>
    <t>6151FLABSFB1XX</t>
  </si>
  <si>
    <t>Flange MS E250A B16.5#150 SO FF 125MM___::SUGAR MACHINARY PART - FLANGE IS2062 GR E250A ANSI B16.5 #150 SLIP ON FLAT FACE 125 MM</t>
  </si>
  <si>
    <t>FLANGES 150 NB #150 SOFF</t>
  </si>
  <si>
    <t>SOFF0150</t>
  </si>
  <si>
    <t>6151FLABSFC1XX</t>
  </si>
  <si>
    <t>Flange MS E250A B16.5#150 SO FF 150MM___::SUGAR MACHINARY PART - FLANGE IS2062 GR E250A ANSI B16.5 #150 SLIP ON FLAT FACE 150 MM</t>
  </si>
  <si>
    <t>FLANGES 200 NB #150 SOFF</t>
  </si>
  <si>
    <t>FLANGE SORF 200 NB #150 RF, SERRATED FNSH.</t>
  </si>
  <si>
    <t>SOFF0200</t>
  </si>
  <si>
    <t>6151FLABSFD1XX</t>
  </si>
  <si>
    <t>Flange MS E250A B16.5#150 SO FF 200MM___::SUGAR MACHINARY PART - FLANGE IS2062 GR E250A ANSI B16.5 #150 SLIP ON FLAT FACE 200 MM</t>
  </si>
  <si>
    <t>FLANGES 250 NB #150 SOFF</t>
  </si>
  <si>
    <t>FLANGE SORF 250 NB #150 RF, SERRATED FNSH.</t>
  </si>
  <si>
    <t>SOFF0250</t>
  </si>
  <si>
    <t>Flange MS E250A B16.5#150 SO FF 250MM___::SUGAR MACHINARY PART - FLANGE IS2062 GR E250A ANSI B16.5 #150 SLIP ON FLAT FACE 250 MM</t>
  </si>
  <si>
    <t>FLANGES 300 NB #150 SOFF</t>
  </si>
  <si>
    <t>SOFF0300</t>
  </si>
  <si>
    <t>Flange MS E250A B16.5#150 SO FF 300MM___::SUGAR MACHINARY PART - FLANGE IS2062 GR E250A ANSI B16.5 #150 SLIP ON FLAT FACE 300 MM</t>
  </si>
  <si>
    <t>FLANGES 350 NB #150 SOFF</t>
  </si>
  <si>
    <t>SOFF0350</t>
  </si>
  <si>
    <t>Flange MS E250A B16.5#150 SO FF 350MM___::SUGAR MACHINARY PART - FLANGE IS2062 GR E250A ANSI B16.5 #150 SLIP ON FLAT FACE 350 MM</t>
  </si>
  <si>
    <t>FLANGES 400 NB #150 SOFF</t>
  </si>
  <si>
    <t>SOFF0400</t>
  </si>
  <si>
    <t>Flange MS E250A B16.5#150 SO FF 400MM___::SUGAR MACHINARY PART - FLANGE IS2062 GR E250A ANSI B16.5 #150 SLIP ON FLAT FACE 400 MM</t>
  </si>
  <si>
    <t>2.1.12</t>
  </si>
  <si>
    <t>FLANGES 450 NB #150 SOFF</t>
  </si>
  <si>
    <t>SOFF0450</t>
  </si>
  <si>
    <t>Flange MS E250A B16.5#150 SO FF 450MM___::SUGAR MACHINARY PART - FLANGE IS2062 GR E250A ANSI B16.5 #150 SLIP ON FLAT FACE 450 MM</t>
  </si>
  <si>
    <t>2.1.13</t>
  </si>
  <si>
    <t>FLANGES 900 NB #150 SOFF</t>
  </si>
  <si>
    <t>FLANGE SORF 400 NB #150 RF, SERRATED FNSH.</t>
  </si>
  <si>
    <t>SOFF0900</t>
  </si>
  <si>
    <t>Flange MS E250A B16.47#150 SO FF 900MM__::SUGAR MACHINARY PART - FLANGE IS2062 GR E250A ANSI B16.47 SERIES A #150 SLIP ON FLAT FACE 900 MM</t>
  </si>
  <si>
    <t xml:space="preserve"> 3.1 MS BLIND FLANGESS</t>
  </si>
  <si>
    <r>
      <t>ALL FLANGES SHALL BE, AS PER ANSI B16.5 &amp; B16.47 SERIES A, CLASS 150 # -</t>
    </r>
    <r>
      <rPr>
        <b/>
        <sz val="12"/>
        <color rgb="FFFF0000"/>
        <rFont val="Arial"/>
        <family val="2"/>
      </rPr>
      <t>BLFF WITH 4MM LINNING</t>
    </r>
  </si>
  <si>
    <t>SR.NO.</t>
  </si>
  <si>
    <t>BLIND FLANGES 25 NB #150 BLFF</t>
  </si>
  <si>
    <t>BLFF0025</t>
  </si>
  <si>
    <t>6151FLABBF254L</t>
  </si>
  <si>
    <t>Flange MS B16.5#150 BD FF 25NB 4SS LI___::FLANGE IS2062 Gr E250A B16.5 # 150 BLIND FLAT FACE 25NB  WITH 4 MM SS LINING</t>
  </si>
  <si>
    <t>BLIND FLANGES 40 NB #150 BLFF</t>
  </si>
  <si>
    <t>BLFF0040</t>
  </si>
  <si>
    <t>6151FLABBF404L</t>
  </si>
  <si>
    <t>Flange MS B16.5#150 BD FF 40NB 4SS LI___::FLANGE IS2062 Gr E250A B16.5 # 150 BLIND FLAT FACE 40NB  WITH 4 MM SS LINING</t>
  </si>
  <si>
    <t>BLIND FLANGES 50 NB #150 BLFF</t>
  </si>
  <si>
    <t>BLFF0050</t>
  </si>
  <si>
    <t>6151FLABBF504L</t>
  </si>
  <si>
    <t>Flange MS B16.5#150 BD FF 50NB 4SS LI___::FLANGE IS2062 Gr E250A B16.5 #150 BLIND FLAT FACE 50NB  WITH 4 MM SS LINING</t>
  </si>
  <si>
    <t>BLIND FLANGES 65 NB #150 BLFF</t>
  </si>
  <si>
    <t>BLFF0065</t>
  </si>
  <si>
    <t>6151FLABBF654L</t>
  </si>
  <si>
    <t>Flange MS B16.5#150 BD FF 65NB 4SS LI___::FLANGE IS2062 Gr E250A B16.5 #150 BLIND FLAT FACE 65NB  WITH 4 MM SS LINING</t>
  </si>
  <si>
    <t>BLIND FLANGES 80 NB #150 BLFF</t>
  </si>
  <si>
    <t>BLFF0080</t>
  </si>
  <si>
    <t>6151FLABBF804L</t>
  </si>
  <si>
    <t>Flange MS B16.5#150 BD FF 80NB 4SS LI___::FLANGE IS2062 Gr E250A B16.5 #150 BLIND FLAT FACE 80NB  WITH 4 MM SS LINING</t>
  </si>
  <si>
    <t>BLIND FLANGES 100 NB #150 BLFF</t>
  </si>
  <si>
    <t>BLFF0100</t>
  </si>
  <si>
    <t>6151FLABBFA14L</t>
  </si>
  <si>
    <t>Flange MS B16.5#150 BD FF 100NB 4SS LI__::FLANGE IS2062 Gr E250A B16.5 #150 BLIND FLAT FACE 100NB  WITH 4 MM SS LINING</t>
  </si>
  <si>
    <t>BLIND FLANGES 125 NB #150 BLFF</t>
  </si>
  <si>
    <t>BLFF0125</t>
  </si>
  <si>
    <t>6151FLABBFB14L</t>
  </si>
  <si>
    <t>Flange MS B16.5#150 BD FF 125NB 4SS LI__::FLANGE IS2062 Gr E250A B16.5 #150 BLIND FLAT FACE 125NB  WITH 4 MM SS LINING</t>
  </si>
  <si>
    <t>BLIND FLANGES 150 NB #150 BLFF</t>
  </si>
  <si>
    <t>BLFF0150</t>
  </si>
  <si>
    <t>6151FLABBFC14L</t>
  </si>
  <si>
    <t>Flange MS B16.5#150 BD FF 150NB 4SS LI__::FLANGE IS2062 Gr E250A B16.5 #150 BLIND FLAT FACE 150NB  WITH 4 MM SS LINING</t>
  </si>
  <si>
    <t>BLIND FLANGES 200 NB #150 BLFF</t>
  </si>
  <si>
    <t>BLFF0200</t>
  </si>
  <si>
    <t>6151FLABBFD14L</t>
  </si>
  <si>
    <t>Flange MS B16.5#150 BD FF 200NB 4SS LI__::FLANGE IS2062 Gr E250A B16.5 #150 BLIND FLAT FACE 200NB  WITH 4 MM SS LINING</t>
  </si>
  <si>
    <t>BLIND FLANGES 250 NB #150 BLFF</t>
  </si>
  <si>
    <t>BLFF0250</t>
  </si>
  <si>
    <t>6151FLABBFE14L</t>
  </si>
  <si>
    <t>Flange MS B16.5#150 BD FF 250NB 4SS LI__::FLANGE IS2062 Gr E250A B16.5 #150 BLIND FLAT FACE 250NB  WITH 4 MM SS LINING</t>
  </si>
  <si>
    <t>BLIND FLANGES 350 NB #150 BLFF</t>
  </si>
  <si>
    <t>BLFF0350</t>
  </si>
  <si>
    <t>6151FLABBFG14L</t>
  </si>
  <si>
    <t>Flange MS B16.5#150 BD FF 350NB 4SS LI__::FLANGE IS2062 Gr E250A B16.5 #150 BLIND FLAT FACE 350NB WITH 4 MM SS LINING</t>
  </si>
  <si>
    <t>4  PACKING:</t>
  </si>
  <si>
    <t>SUPPLIER WILL PROVIDE DETAIL PACKING LIST WITH SIZE &amp; WEIGHT OF THE PACKED LOT</t>
  </si>
  <si>
    <t xml:space="preserve">THE ABOVE SPECIFICATIONS ARE PREPARED IN COMPLIANCE WITH THE CONTRACT SPECIFICATION. </t>
  </si>
  <si>
    <t>REQUIREMENT OF MS FLANGES (FOR SS PIPING) FOR PROCESS PIPING - LOT 1_GRAIN SECTION</t>
  </si>
  <si>
    <t>SS0198-27110706-MTO-0024</t>
  </si>
  <si>
    <t>FLANGES 25 NB #150 SOFF</t>
  </si>
  <si>
    <t>SOFF0025</t>
  </si>
  <si>
    <t>6151FLABSF25XX</t>
  </si>
  <si>
    <t>Flange MS E250A B16.5#150 SO FF 25MM____::SUGAR MACHINARY PART - FLANGE IS2062 GR E250A ANSI B16.5 #150 SLIP ON FLAT FACE 25 MM</t>
  </si>
  <si>
    <t>FLANGES 40 NB #150 SOFF</t>
  </si>
  <si>
    <t>SOFF0040</t>
  </si>
  <si>
    <t>6151FLABSF40XX</t>
  </si>
  <si>
    <t>Flange MS E250A B16.5#150 SO FF 40MM____::SUGAR MACHINARY PART - FLANGE IS2062 GR E250A ANSI B16.5 #150 SLIP ON FLAT FACE 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</si>
</sst>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/>
    <xf numFmtId="0" fontId="5" fillId="0" borderId="3" xfId="0" applyFont="1" applyBorder="1" applyAlignment="1">
      <alignment horizontal="center" vertical="center" wrapText="1"/>
    </xf>
    <xf numFmtId="0" fontId="1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" fillId="0" borderId="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2" fillId="0" borderId="14" xfId="0" applyFont="1" applyBorder="1"/>
    <xf numFmtId="0" fontId="5" fillId="0" borderId="3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0" borderId="6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/>
    <xf numFmtId="0" fontId="5" fillId="0" borderId="9" xfId="0" applyFont="1" applyBorder="1" applyAlignment="1">
      <alignment horizontal="center" vertical="center"/>
    </xf>
    <xf numFmtId="0" fontId="1" fillId="0" borderId="4" xfId="0" applyFont="1" applyBorder="1"/>
    <xf numFmtId="0" fontId="5" fillId="0" borderId="1" xfId="0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1" fillId="0" borderId="31" xfId="0" quotePrefix="1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2" borderId="3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2" fontId="5" fillId="0" borderId="9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" fillId="0" borderId="27" xfId="0" applyFont="1" applyBorder="1"/>
    <xf numFmtId="0" fontId="1" fillId="0" borderId="33" xfId="0" applyFont="1" applyBorder="1"/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30" xfId="0" applyFont="1" applyBorder="1"/>
    <xf numFmtId="0" fontId="1" fillId="0" borderId="26" xfId="0" applyFont="1" applyBorder="1"/>
    <xf numFmtId="0" fontId="1" fillId="0" borderId="34" xfId="0" applyFont="1" applyBorder="1"/>
    <xf numFmtId="0" fontId="9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7" xfId="0" applyFont="1" applyBorder="1"/>
    <xf numFmtId="0" fontId="5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89647</xdr:colOff>
      <xdr:row>1</xdr:row>
      <xdr:rowOff>44824</xdr:rowOff>
    </xdr:from>
    <xdr:to>
      <xdr:col>2</xdr:col>
      <xdr:colOff>1092200</xdr:colOff>
      <xdr:row>2</xdr:row>
      <xdr:rowOff>174982</xdr:rowOff>
    </xdr:to>
    <xdr:pic>
      <xdr:nvPicPr>
        <xdr:cNvPr id="2" name="Picture 1" descr="New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197" y="44824"/>
          <a:ext cx="1002553" cy="39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89647</xdr:colOff>
      <xdr:row>1</xdr:row>
      <xdr:rowOff>44824</xdr:rowOff>
    </xdr:from>
    <xdr:to>
      <xdr:col>16</xdr:col>
      <xdr:colOff>1092200</xdr:colOff>
      <xdr:row>2</xdr:row>
      <xdr:rowOff>174982</xdr:rowOff>
    </xdr:to>
    <xdr:pic>
      <xdr:nvPicPr>
        <xdr:cNvPr id="4" name="Picture 3" descr="New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022" y="216274"/>
          <a:ext cx="1002553" cy="39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266540</xdr:colOff>
      <xdr:row>5</xdr:row>
      <xdr:rowOff>44824</xdr:rowOff>
    </xdr:from>
    <xdr:to>
      <xdr:col>30</xdr:col>
      <xdr:colOff>1269093</xdr:colOff>
      <xdr:row>6</xdr:row>
      <xdr:rowOff>174982</xdr:rowOff>
    </xdr:to>
    <xdr:pic>
      <xdr:nvPicPr>
        <xdr:cNvPr id="5" name="Picture 4" descr="New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415" y="216274"/>
          <a:ext cx="1002553" cy="39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89647</xdr:colOff>
      <xdr:row>1</xdr:row>
      <xdr:rowOff>44824</xdr:rowOff>
    </xdr:from>
    <xdr:to>
      <xdr:col>43</xdr:col>
      <xdr:colOff>1092200</xdr:colOff>
      <xdr:row>2</xdr:row>
      <xdr:rowOff>174982</xdr:rowOff>
    </xdr:to>
    <xdr:pic>
      <xdr:nvPicPr>
        <xdr:cNvPr id="6" name="Picture 5" descr="New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522" y="216274"/>
          <a:ext cx="1002553" cy="39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89647</xdr:colOff>
      <xdr:row>1</xdr:row>
      <xdr:rowOff>44824</xdr:rowOff>
    </xdr:from>
    <xdr:to>
      <xdr:col>56</xdr:col>
      <xdr:colOff>1092200</xdr:colOff>
      <xdr:row>2</xdr:row>
      <xdr:rowOff>174982</xdr:rowOff>
    </xdr:to>
    <xdr:pic>
      <xdr:nvPicPr>
        <xdr:cNvPr id="7" name="Picture 6" descr="New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522" y="216274"/>
          <a:ext cx="1002553" cy="3968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806823</xdr:colOff>
      <xdr:row>59</xdr:row>
      <xdr:rowOff>33617</xdr:rowOff>
    </xdr:from>
    <xdr:to>
      <xdr:col>2</xdr:col>
      <xdr:colOff>717176</xdr:colOff>
      <xdr:row>60</xdr:row>
      <xdr:rowOff>239228</xdr:rowOff>
    </xdr:to>
    <xdr:pic>
      <xdr:nvPicPr>
        <xdr:cNvPr id="8" name="Picture 7" descr="New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" y="195542"/>
          <a:ext cx="900953" cy="49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806823</xdr:colOff>
      <xdr:row>59</xdr:row>
      <xdr:rowOff>33617</xdr:rowOff>
    </xdr:from>
    <xdr:to>
      <xdr:col>15</xdr:col>
      <xdr:colOff>717176</xdr:colOff>
      <xdr:row>60</xdr:row>
      <xdr:rowOff>239228</xdr:rowOff>
    </xdr:to>
    <xdr:pic>
      <xdr:nvPicPr>
        <xdr:cNvPr id="9" name="Picture 8" descr="New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" y="195542"/>
          <a:ext cx="900953" cy="49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806823</xdr:colOff>
      <xdr:row>59</xdr:row>
      <xdr:rowOff>33617</xdr:rowOff>
    </xdr:from>
    <xdr:to>
      <xdr:col>26</xdr:col>
      <xdr:colOff>717176</xdr:colOff>
      <xdr:row>60</xdr:row>
      <xdr:rowOff>239228</xdr:rowOff>
    </xdr:to>
    <xdr:pic>
      <xdr:nvPicPr>
        <xdr:cNvPr id="10" name="Picture 9" descr="New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" y="195542"/>
          <a:ext cx="900953" cy="49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0</xdr:colOff>
      <xdr:row>59</xdr:row>
      <xdr:rowOff>22412</xdr:rowOff>
    </xdr:from>
    <xdr:to>
      <xdr:col>37</xdr:col>
      <xdr:colOff>896471</xdr:colOff>
      <xdr:row>60</xdr:row>
      <xdr:rowOff>228023</xdr:rowOff>
    </xdr:to>
    <xdr:pic>
      <xdr:nvPicPr>
        <xdr:cNvPr id="11" name="Picture 10" descr="New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93862"/>
          <a:ext cx="896471" cy="49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0</xdr:colOff>
      <xdr:row>59</xdr:row>
      <xdr:rowOff>22412</xdr:rowOff>
    </xdr:from>
    <xdr:to>
      <xdr:col>49</xdr:col>
      <xdr:colOff>896471</xdr:colOff>
      <xdr:row>60</xdr:row>
      <xdr:rowOff>228023</xdr:rowOff>
    </xdr:to>
    <xdr:pic>
      <xdr:nvPicPr>
        <xdr:cNvPr id="12" name="Picture 11" descr="New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93862"/>
          <a:ext cx="896471" cy="49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115"/>
  <sheetViews>
    <sheetView tabSelected="1" zoomScale="10" zoomScaleNormal="10" zoomScaleSheetLayoutView="40" workbookViewId="0">
      <selection activeCell="F42" sqref="F42"/>
    </sheetView>
  </sheetViews>
  <sheetFormatPr defaultRowHeight="12.75" x14ac:dyDescent="0.2"/>
  <cols>
    <col min="1" max="1" width="2.5703125" customWidth="1"/>
    <col min="2" max="2" width="16.7109375" customWidth="1"/>
    <col min="3" max="3" width="36.42578125" bestFit="1" customWidth="1"/>
    <col min="4" max="4" width="14.140625" customWidth="1"/>
    <col min="5" max="5" width="15.28515625" customWidth="1"/>
    <col min="6" max="6" width="23" customWidth="1"/>
    <col min="7" max="7" width="17.28515625" customWidth="1"/>
    <col min="8" max="9" width="17.5703125" customWidth="1"/>
    <col min="10" max="10" width="24.85546875" bestFit="1" customWidth="1"/>
    <col min="11" max="11" width="54" customWidth="1"/>
    <col min="12" max="12" width="15.42578125" customWidth="1"/>
    <col min="13" max="13" width="38.140625" customWidth="1"/>
    <col min="17" max="17" width="34.28515625" customWidth="1"/>
    <col min="20" max="20" width="17" customWidth="1"/>
    <col min="28" max="28" width="26.42578125" customWidth="1"/>
    <col min="31" max="31" width="32.5703125" customWidth="1"/>
    <col min="39" max="39" width="25" customWidth="1"/>
    <col min="44" max="44" width="33.28515625" customWidth="1"/>
    <col min="47" max="47" width="18.28515625" customWidth="1"/>
    <col min="51" max="51" width="29.85546875" customWidth="1"/>
    <col min="57" max="57" width="25.7109375" customWidth="1"/>
  </cols>
  <sheetData>
    <row r="1" spans="2:67" ht="13.5" thickBot="1" x14ac:dyDescent="0.25"/>
    <row r="2" spans="2:67" ht="21" customHeight="1" x14ac:dyDescent="0.2">
      <c r="B2" s="84"/>
      <c r="C2" s="85"/>
      <c r="D2" s="88" t="s">
        <v>3</v>
      </c>
      <c r="E2" s="88"/>
      <c r="F2" s="88"/>
      <c r="G2" s="88"/>
      <c r="H2" s="89" t="s">
        <v>13</v>
      </c>
      <c r="I2" s="89"/>
      <c r="J2" s="89"/>
      <c r="K2" s="89"/>
      <c r="L2" s="89"/>
      <c r="M2" s="90"/>
      <c r="P2" s="84"/>
      <c r="Q2" s="85"/>
      <c r="R2" s="88" t="s">
        <v>3</v>
      </c>
      <c r="S2" s="88"/>
      <c r="T2" s="88"/>
      <c r="U2" s="88"/>
      <c r="V2" s="89" t="s">
        <v>13</v>
      </c>
      <c r="W2" s="89"/>
      <c r="X2" s="89"/>
      <c r="Y2" s="89"/>
      <c r="Z2" s="89"/>
      <c r="AA2" s="90"/>
      <c r="AQ2" s="84"/>
      <c r="AR2" s="85"/>
      <c r="AS2" s="88" t="s">
        <v>3</v>
      </c>
      <c r="AT2" s="88"/>
      <c r="AU2" s="88"/>
      <c r="AV2" s="88"/>
      <c r="AW2" s="89" t="s">
        <v>13</v>
      </c>
      <c r="AX2" s="89"/>
      <c r="AY2" s="89"/>
      <c r="AZ2" s="89"/>
      <c r="BA2" s="89"/>
      <c r="BB2" s="90"/>
      <c r="BD2" s="84"/>
      <c r="BE2" s="85"/>
      <c r="BF2" s="88" t="s">
        <v>3</v>
      </c>
      <c r="BG2" s="88"/>
      <c r="BH2" s="88"/>
      <c r="BI2" s="88"/>
      <c r="BJ2" s="89" t="s">
        <v>13</v>
      </c>
      <c r="BK2" s="89"/>
      <c r="BL2" s="89"/>
      <c r="BM2" s="89"/>
      <c r="BN2" s="89"/>
      <c r="BO2" s="90"/>
    </row>
    <row r="3" spans="2:67" ht="18" customHeight="1" x14ac:dyDescent="0.2">
      <c r="B3" s="86"/>
      <c r="C3" s="87"/>
      <c r="D3" s="83"/>
      <c r="E3" s="83"/>
      <c r="F3" s="83"/>
      <c r="G3" s="83"/>
      <c r="H3" s="23" t="s">
        <v>74</v>
      </c>
      <c r="I3" s="22"/>
      <c r="J3" s="13"/>
      <c r="K3" s="13"/>
      <c r="L3" s="11"/>
      <c r="M3" s="16"/>
      <c r="P3" s="86"/>
      <c r="Q3" s="87"/>
      <c r="R3" s="83"/>
      <c r="S3" s="83"/>
      <c r="T3" s="83"/>
      <c r="U3" s="83"/>
      <c r="V3" s="23" t="s">
        <v>74</v>
      </c>
      <c r="W3" s="22"/>
      <c r="X3" s="13"/>
      <c r="Y3" s="13"/>
      <c r="Z3" s="11"/>
      <c r="AA3" s="16"/>
      <c r="AQ3" s="86"/>
      <c r="AR3" s="87"/>
      <c r="AS3" s="83"/>
      <c r="AT3" s="83"/>
      <c r="AU3" s="83"/>
      <c r="AV3" s="83"/>
      <c r="AW3" s="23" t="s">
        <v>74</v>
      </c>
      <c r="AX3" s="22"/>
      <c r="AY3" s="13"/>
      <c r="AZ3" s="13"/>
      <c r="BA3" s="11"/>
      <c r="BB3" s="16"/>
      <c r="BD3" s="86"/>
      <c r="BE3" s="87"/>
      <c r="BF3" s="83"/>
      <c r="BG3" s="83"/>
      <c r="BH3" s="83"/>
      <c r="BI3" s="83"/>
      <c r="BJ3" s="153" t="s">
        <v>74</v>
      </c>
      <c r="BK3" s="22" t="s">
        <v>156</v>
      </c>
      <c r="BL3" s="13"/>
      <c r="BM3" s="13"/>
      <c r="BN3" s="11"/>
      <c r="BO3" s="16"/>
    </row>
    <row r="4" spans="2:67" ht="14.25" customHeight="1" x14ac:dyDescent="0.2">
      <c r="B4" s="53" t="s">
        <v>0</v>
      </c>
      <c r="C4" s="45" t="s">
        <v>76</v>
      </c>
      <c r="D4" s="83"/>
      <c r="E4" s="83"/>
      <c r="F4" s="83"/>
      <c r="G4" s="83"/>
      <c r="H4" s="24" t="s">
        <v>78</v>
      </c>
      <c r="I4" s="14"/>
      <c r="J4" s="14"/>
      <c r="K4" s="14"/>
      <c r="L4" s="12"/>
      <c r="M4" s="17"/>
      <c r="P4" s="53" t="s">
        <v>0</v>
      </c>
      <c r="Q4" s="62" t="s">
        <v>76</v>
      </c>
      <c r="R4" s="83"/>
      <c r="S4" s="83"/>
      <c r="T4" s="83"/>
      <c r="U4" s="83"/>
      <c r="V4" s="24" t="s">
        <v>138</v>
      </c>
      <c r="W4" s="14"/>
      <c r="X4" s="14"/>
      <c r="Y4" s="14"/>
      <c r="Z4" s="12"/>
      <c r="AA4" s="17"/>
      <c r="AQ4" s="53" t="s">
        <v>0</v>
      </c>
      <c r="AR4" s="62" t="s">
        <v>76</v>
      </c>
      <c r="AS4" s="83"/>
      <c r="AT4" s="83"/>
      <c r="AU4" s="83"/>
      <c r="AV4" s="83"/>
      <c r="AW4" s="24" t="s">
        <v>146</v>
      </c>
      <c r="AX4" s="14"/>
      <c r="AY4" s="14"/>
      <c r="AZ4" s="14"/>
      <c r="BA4" s="12"/>
      <c r="BB4" s="17"/>
      <c r="BD4" s="53" t="s">
        <v>0</v>
      </c>
      <c r="BE4" s="62" t="s">
        <v>136</v>
      </c>
      <c r="BF4" s="83"/>
      <c r="BG4" s="83"/>
      <c r="BH4" s="83"/>
      <c r="BI4" s="83"/>
      <c r="BJ4" s="154" t="s">
        <v>137</v>
      </c>
      <c r="BK4" s="14" t="s">
        <v>157</v>
      </c>
      <c r="BL4" s="14"/>
      <c r="BM4" s="14"/>
      <c r="BN4" s="12"/>
      <c r="BO4" s="17"/>
    </row>
    <row r="5" spans="2:67" ht="15" customHeight="1" thickBot="1" x14ac:dyDescent="0.25">
      <c r="B5" s="54" t="s">
        <v>1</v>
      </c>
      <c r="C5" s="55" t="s">
        <v>77</v>
      </c>
      <c r="D5" s="83"/>
      <c r="E5" s="83"/>
      <c r="F5" s="83"/>
      <c r="G5" s="83"/>
      <c r="H5" s="91" t="s">
        <v>115</v>
      </c>
      <c r="I5" s="91"/>
      <c r="J5" s="91"/>
      <c r="K5" s="91"/>
      <c r="L5" s="91"/>
      <c r="M5" s="92"/>
      <c r="P5" s="54" t="s">
        <v>1</v>
      </c>
      <c r="Q5" s="55" t="s">
        <v>77</v>
      </c>
      <c r="R5" s="83"/>
      <c r="S5" s="83"/>
      <c r="T5" s="83"/>
      <c r="U5" s="83"/>
      <c r="V5" s="91" t="s">
        <v>139</v>
      </c>
      <c r="W5" s="91"/>
      <c r="X5" s="91"/>
      <c r="Y5" s="91"/>
      <c r="Z5" s="91"/>
      <c r="AA5" s="139"/>
      <c r="AQ5" s="54" t="s">
        <v>1</v>
      </c>
      <c r="AR5" s="55" t="s">
        <v>77</v>
      </c>
      <c r="AS5" s="83"/>
      <c r="AT5" s="83"/>
      <c r="AU5" s="83"/>
      <c r="AV5" s="83"/>
      <c r="AW5" s="91" t="s">
        <v>147</v>
      </c>
      <c r="AX5" s="91"/>
      <c r="AY5" s="91"/>
      <c r="AZ5" s="91"/>
      <c r="BA5" s="91"/>
      <c r="BB5" s="139"/>
      <c r="BD5" s="54" t="s">
        <v>1</v>
      </c>
      <c r="BE5" s="55" t="s">
        <v>77</v>
      </c>
      <c r="BF5" s="83"/>
      <c r="BG5" s="83"/>
      <c r="BH5" s="83"/>
      <c r="BI5" s="83"/>
      <c r="BJ5" s="91" t="s">
        <v>158</v>
      </c>
      <c r="BK5" s="91"/>
      <c r="BL5" s="91"/>
      <c r="BM5" s="91"/>
      <c r="BN5" s="91"/>
      <c r="BO5" s="139"/>
    </row>
    <row r="6" spans="2:67" ht="24.75" customHeight="1" x14ac:dyDescent="0.2">
      <c r="B6" s="54" t="s">
        <v>2</v>
      </c>
      <c r="C6" s="56" t="s">
        <v>114</v>
      </c>
      <c r="D6" s="83"/>
      <c r="E6" s="83"/>
      <c r="F6" s="83"/>
      <c r="G6" s="83"/>
      <c r="H6" s="93"/>
      <c r="I6" s="93"/>
      <c r="J6" s="93"/>
      <c r="K6" s="93"/>
      <c r="L6" s="93"/>
      <c r="M6" s="92"/>
      <c r="P6" s="54" t="s">
        <v>2</v>
      </c>
      <c r="Q6" s="56" t="s">
        <v>140</v>
      </c>
      <c r="R6" s="83"/>
      <c r="S6" s="83"/>
      <c r="T6" s="83"/>
      <c r="U6" s="83"/>
      <c r="V6" s="91"/>
      <c r="W6" s="91"/>
      <c r="X6" s="91"/>
      <c r="Y6" s="91"/>
      <c r="Z6" s="91"/>
      <c r="AA6" s="139"/>
      <c r="AD6" s="84"/>
      <c r="AE6" s="85"/>
      <c r="AF6" s="88" t="s">
        <v>3</v>
      </c>
      <c r="AG6" s="88"/>
      <c r="AH6" s="88"/>
      <c r="AI6" s="88"/>
      <c r="AJ6" s="89" t="s">
        <v>13</v>
      </c>
      <c r="AK6" s="89"/>
      <c r="AL6" s="89"/>
      <c r="AM6" s="89"/>
      <c r="AN6" s="89"/>
      <c r="AO6" s="90"/>
      <c r="AQ6" s="54" t="s">
        <v>2</v>
      </c>
      <c r="AR6" s="56" t="s">
        <v>148</v>
      </c>
      <c r="AS6" s="83"/>
      <c r="AT6" s="83"/>
      <c r="AU6" s="83"/>
      <c r="AV6" s="83"/>
      <c r="AW6" s="91"/>
      <c r="AX6" s="91"/>
      <c r="AY6" s="91"/>
      <c r="AZ6" s="91"/>
      <c r="BA6" s="91"/>
      <c r="BB6" s="139"/>
      <c r="BD6" s="54" t="s">
        <v>2</v>
      </c>
      <c r="BE6" s="56" t="s">
        <v>159</v>
      </c>
      <c r="BF6" s="83"/>
      <c r="BG6" s="83"/>
      <c r="BH6" s="83"/>
      <c r="BI6" s="83"/>
      <c r="BJ6" s="91"/>
      <c r="BK6" s="91"/>
      <c r="BL6" s="91"/>
      <c r="BM6" s="91"/>
      <c r="BN6" s="91"/>
      <c r="BO6" s="139"/>
    </row>
    <row r="7" spans="2:67" ht="20.100000000000001" customHeight="1" x14ac:dyDescent="0.2">
      <c r="B7" s="94" t="s">
        <v>7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6"/>
      <c r="P7" s="94" t="s">
        <v>7</v>
      </c>
      <c r="Q7" s="95"/>
      <c r="R7" s="95"/>
      <c r="S7" s="95"/>
      <c r="T7" s="95"/>
      <c r="U7" s="95"/>
      <c r="V7" s="95"/>
      <c r="W7" s="95"/>
      <c r="X7" s="95"/>
      <c r="Y7" s="95"/>
      <c r="Z7" s="95"/>
      <c r="AA7" s="96"/>
      <c r="AD7" s="86"/>
      <c r="AE7" s="87"/>
      <c r="AF7" s="83"/>
      <c r="AG7" s="83"/>
      <c r="AH7" s="83"/>
      <c r="AI7" s="83"/>
      <c r="AJ7" s="23" t="s">
        <v>74</v>
      </c>
      <c r="AK7" s="22"/>
      <c r="AL7" s="13"/>
      <c r="AM7" s="13"/>
      <c r="AN7" s="11"/>
      <c r="AO7" s="16"/>
      <c r="AQ7" s="94" t="s">
        <v>7</v>
      </c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6"/>
      <c r="BD7" s="94" t="s">
        <v>7</v>
      </c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6"/>
    </row>
    <row r="8" spans="2:67" ht="20.100000000000001" customHeight="1" x14ac:dyDescent="0.2">
      <c r="B8" s="2"/>
      <c r="C8" s="73"/>
      <c r="D8" s="73"/>
      <c r="E8" s="73"/>
      <c r="F8" s="73"/>
      <c r="G8" s="73"/>
      <c r="H8" s="73"/>
      <c r="I8" s="73"/>
      <c r="J8" s="73"/>
      <c r="K8" s="73"/>
      <c r="L8" s="73"/>
      <c r="M8" s="74"/>
      <c r="P8" s="2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  <c r="AD8" s="53" t="s">
        <v>0</v>
      </c>
      <c r="AE8" s="62" t="s">
        <v>76</v>
      </c>
      <c r="AF8" s="83"/>
      <c r="AG8" s="83"/>
      <c r="AH8" s="83"/>
      <c r="AI8" s="83"/>
      <c r="AJ8" s="24" t="s">
        <v>142</v>
      </c>
      <c r="AK8" s="14"/>
      <c r="AL8" s="14"/>
      <c r="AM8" s="14"/>
      <c r="AN8" s="12"/>
      <c r="AO8" s="17"/>
      <c r="AQ8" s="2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4"/>
      <c r="BD8" s="2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4"/>
    </row>
    <row r="9" spans="2:67" s="1" customFormat="1" ht="20.100000000000001" customHeight="1" x14ac:dyDescent="0.2">
      <c r="B9" s="97" t="s">
        <v>5</v>
      </c>
      <c r="C9" s="98"/>
      <c r="D9" s="99"/>
      <c r="E9" s="99"/>
      <c r="F9" s="99"/>
      <c r="G9" s="99"/>
      <c r="H9" s="99"/>
      <c r="I9" s="99"/>
      <c r="J9" s="99"/>
      <c r="K9" s="99"/>
      <c r="L9" s="99"/>
      <c r="M9" s="100"/>
      <c r="P9" s="97" t="s">
        <v>5</v>
      </c>
      <c r="Q9" s="98"/>
      <c r="R9" s="99"/>
      <c r="S9" s="99"/>
      <c r="T9" s="99"/>
      <c r="U9" s="99"/>
      <c r="V9" s="99"/>
      <c r="W9" s="99"/>
      <c r="X9" s="99"/>
      <c r="Y9" s="99"/>
      <c r="Z9" s="99"/>
      <c r="AA9" s="100"/>
      <c r="AD9" s="54" t="s">
        <v>1</v>
      </c>
      <c r="AE9" s="55" t="s">
        <v>77</v>
      </c>
      <c r="AF9" s="83"/>
      <c r="AG9" s="83"/>
      <c r="AH9" s="83"/>
      <c r="AI9" s="83"/>
      <c r="AJ9" s="91" t="s">
        <v>143</v>
      </c>
      <c r="AK9" s="91"/>
      <c r="AL9" s="91"/>
      <c r="AM9" s="91"/>
      <c r="AN9" s="91"/>
      <c r="AO9" s="139"/>
      <c r="AQ9" s="97" t="s">
        <v>5</v>
      </c>
      <c r="AR9" s="98"/>
      <c r="AS9" s="99"/>
      <c r="AT9" s="99"/>
      <c r="AU9" s="99"/>
      <c r="AV9" s="99"/>
      <c r="AW9" s="99"/>
      <c r="AX9" s="99"/>
      <c r="AY9" s="99"/>
      <c r="AZ9" s="99"/>
      <c r="BA9" s="99"/>
      <c r="BB9" s="100"/>
      <c r="BD9" s="97" t="s">
        <v>5</v>
      </c>
      <c r="BE9" s="98"/>
      <c r="BF9" s="99"/>
      <c r="BG9" s="99"/>
      <c r="BH9" s="99"/>
      <c r="BI9" s="99"/>
      <c r="BJ9" s="99"/>
      <c r="BK9" s="99"/>
      <c r="BL9" s="99"/>
      <c r="BM9" s="99"/>
      <c r="BN9" s="99"/>
      <c r="BO9" s="100"/>
    </row>
    <row r="10" spans="2:67" s="1" customFormat="1" ht="20.100000000000001" customHeight="1" x14ac:dyDescent="0.2">
      <c r="B10" s="29">
        <v>1.1000000000000001</v>
      </c>
      <c r="C10" s="75" t="s">
        <v>35</v>
      </c>
      <c r="D10" s="75"/>
      <c r="E10" s="75"/>
      <c r="F10" s="75"/>
      <c r="G10" s="75"/>
      <c r="H10" s="75"/>
      <c r="I10" s="75"/>
      <c r="J10" s="75"/>
      <c r="K10" s="75"/>
      <c r="L10" s="75"/>
      <c r="M10" s="76"/>
      <c r="P10" s="29">
        <v>1.1000000000000001</v>
      </c>
      <c r="Q10" s="75" t="s">
        <v>35</v>
      </c>
      <c r="R10" s="75"/>
      <c r="S10" s="75"/>
      <c r="T10" s="75"/>
      <c r="U10" s="75"/>
      <c r="V10" s="75"/>
      <c r="W10" s="75"/>
      <c r="X10" s="75"/>
      <c r="Y10" s="75"/>
      <c r="Z10" s="75"/>
      <c r="AA10" s="76"/>
      <c r="AD10" s="54" t="s">
        <v>2</v>
      </c>
      <c r="AE10" s="56" t="s">
        <v>144</v>
      </c>
      <c r="AF10" s="83"/>
      <c r="AG10" s="83"/>
      <c r="AH10" s="83"/>
      <c r="AI10" s="83"/>
      <c r="AJ10" s="91"/>
      <c r="AK10" s="91"/>
      <c r="AL10" s="91"/>
      <c r="AM10" s="91"/>
      <c r="AN10" s="91"/>
      <c r="AO10" s="139"/>
      <c r="AQ10" s="29">
        <v>1.1000000000000001</v>
      </c>
      <c r="AR10" s="75" t="s">
        <v>35</v>
      </c>
      <c r="AS10" s="75"/>
      <c r="AT10" s="75"/>
      <c r="AU10" s="75"/>
      <c r="AV10" s="75"/>
      <c r="AW10" s="75"/>
      <c r="AX10" s="75"/>
      <c r="AY10" s="75"/>
      <c r="AZ10" s="75"/>
      <c r="BA10" s="75"/>
      <c r="BB10" s="76"/>
      <c r="BD10" s="29">
        <v>1.1000000000000001</v>
      </c>
      <c r="BE10" s="75" t="s">
        <v>35</v>
      </c>
      <c r="BF10" s="75"/>
      <c r="BG10" s="75"/>
      <c r="BH10" s="75"/>
      <c r="BI10" s="75"/>
      <c r="BJ10" s="75"/>
      <c r="BK10" s="75"/>
      <c r="BL10" s="75"/>
      <c r="BM10" s="75"/>
      <c r="BN10" s="75"/>
      <c r="BO10" s="76"/>
    </row>
    <row r="11" spans="2:67" s="1" customFormat="1" ht="20.100000000000001" customHeight="1" x14ac:dyDescent="0.2">
      <c r="B11" s="97" t="s">
        <v>6</v>
      </c>
      <c r="C11" s="98"/>
      <c r="D11" s="101"/>
      <c r="E11" s="101"/>
      <c r="F11" s="101"/>
      <c r="G11" s="101"/>
      <c r="H11" s="101"/>
      <c r="I11" s="101"/>
      <c r="J11" s="101"/>
      <c r="K11" s="101"/>
      <c r="L11" s="101"/>
      <c r="M11" s="102"/>
      <c r="P11" s="97" t="s">
        <v>6</v>
      </c>
      <c r="Q11" s="98"/>
      <c r="R11" s="101"/>
      <c r="S11" s="101"/>
      <c r="T11" s="101"/>
      <c r="U11" s="101"/>
      <c r="V11" s="101"/>
      <c r="W11" s="101"/>
      <c r="X11" s="101"/>
      <c r="Y11" s="101"/>
      <c r="Z11" s="101"/>
      <c r="AA11" s="102"/>
      <c r="AD11" s="94" t="s">
        <v>7</v>
      </c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6"/>
      <c r="AQ11" s="97" t="s">
        <v>6</v>
      </c>
      <c r="AR11" s="98"/>
      <c r="AS11" s="101"/>
      <c r="AT11" s="101"/>
      <c r="AU11" s="101"/>
      <c r="AV11" s="101"/>
      <c r="AW11" s="101"/>
      <c r="AX11" s="101"/>
      <c r="AY11" s="101"/>
      <c r="AZ11" s="101"/>
      <c r="BA11" s="101"/>
      <c r="BB11" s="102"/>
      <c r="BD11" s="97" t="s">
        <v>6</v>
      </c>
      <c r="BE11" s="98"/>
      <c r="BF11" s="101"/>
      <c r="BG11" s="101"/>
      <c r="BH11" s="101"/>
      <c r="BI11" s="101"/>
      <c r="BJ11" s="101"/>
      <c r="BK11" s="101"/>
      <c r="BL11" s="101"/>
      <c r="BM11" s="101"/>
      <c r="BN11" s="101"/>
      <c r="BO11" s="102"/>
    </row>
    <row r="12" spans="2:67" ht="20.100000000000001" customHeight="1" x14ac:dyDescent="0.2">
      <c r="B12" s="6">
        <v>2.1</v>
      </c>
      <c r="C12" s="75" t="s">
        <v>36</v>
      </c>
      <c r="D12" s="75"/>
      <c r="E12" s="75"/>
      <c r="F12" s="75"/>
      <c r="G12" s="75"/>
      <c r="H12" s="75"/>
      <c r="I12" s="75"/>
      <c r="J12" s="75"/>
      <c r="K12" s="75"/>
      <c r="L12" s="75"/>
      <c r="M12" s="76"/>
      <c r="P12" s="6">
        <v>2.1</v>
      </c>
      <c r="Q12" s="75" t="s">
        <v>36</v>
      </c>
      <c r="R12" s="75"/>
      <c r="S12" s="75"/>
      <c r="T12" s="75"/>
      <c r="U12" s="75"/>
      <c r="V12" s="75"/>
      <c r="W12" s="75"/>
      <c r="X12" s="75"/>
      <c r="Y12" s="75"/>
      <c r="Z12" s="75"/>
      <c r="AA12" s="76"/>
      <c r="AD12" s="2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4"/>
      <c r="AQ12" s="6">
        <v>2.1</v>
      </c>
      <c r="AR12" s="75" t="s">
        <v>36</v>
      </c>
      <c r="AS12" s="75"/>
      <c r="AT12" s="75"/>
      <c r="AU12" s="75"/>
      <c r="AV12" s="75"/>
      <c r="AW12" s="75"/>
      <c r="AX12" s="75"/>
      <c r="AY12" s="75"/>
      <c r="AZ12" s="75"/>
      <c r="BA12" s="75"/>
      <c r="BB12" s="76"/>
      <c r="BD12" s="6">
        <v>2.1</v>
      </c>
      <c r="BE12" s="75" t="s">
        <v>160</v>
      </c>
      <c r="BF12" s="75"/>
      <c r="BG12" s="75"/>
      <c r="BH12" s="75"/>
      <c r="BI12" s="75"/>
      <c r="BJ12" s="75"/>
      <c r="BK12" s="75"/>
      <c r="BL12" s="75"/>
      <c r="BM12" s="75"/>
      <c r="BN12" s="75"/>
      <c r="BO12" s="76"/>
    </row>
    <row r="13" spans="2:67" ht="20.100000000000001" customHeight="1" x14ac:dyDescent="0.2">
      <c r="B13" s="6">
        <v>2.2000000000000002</v>
      </c>
      <c r="C13" s="75" t="s">
        <v>37</v>
      </c>
      <c r="D13" s="75"/>
      <c r="E13" s="75"/>
      <c r="F13" s="75"/>
      <c r="G13" s="75"/>
      <c r="H13" s="75"/>
      <c r="I13" s="75"/>
      <c r="J13" s="75"/>
      <c r="K13" s="75"/>
      <c r="L13" s="75"/>
      <c r="M13" s="76"/>
      <c r="P13" s="6">
        <v>2.2000000000000002</v>
      </c>
      <c r="Q13" s="75" t="s">
        <v>37</v>
      </c>
      <c r="R13" s="75"/>
      <c r="S13" s="75"/>
      <c r="T13" s="75"/>
      <c r="U13" s="75"/>
      <c r="V13" s="75"/>
      <c r="W13" s="75"/>
      <c r="X13" s="75"/>
      <c r="Y13" s="75"/>
      <c r="Z13" s="75"/>
      <c r="AA13" s="76"/>
      <c r="AD13" s="97" t="s">
        <v>5</v>
      </c>
      <c r="AE13" s="98"/>
      <c r="AF13" s="99"/>
      <c r="AG13" s="99"/>
      <c r="AH13" s="99"/>
      <c r="AI13" s="99"/>
      <c r="AJ13" s="99"/>
      <c r="AK13" s="99"/>
      <c r="AL13" s="99"/>
      <c r="AM13" s="99"/>
      <c r="AN13" s="99"/>
      <c r="AO13" s="100"/>
      <c r="AQ13" s="6">
        <v>2.2000000000000002</v>
      </c>
      <c r="AR13" s="75" t="s">
        <v>37</v>
      </c>
      <c r="AS13" s="75"/>
      <c r="AT13" s="75"/>
      <c r="AU13" s="75"/>
      <c r="AV13" s="75"/>
      <c r="AW13" s="75"/>
      <c r="AX13" s="75"/>
      <c r="AY13" s="75"/>
      <c r="AZ13" s="75"/>
      <c r="BA13" s="75"/>
      <c r="BB13" s="76"/>
      <c r="BD13" s="6">
        <v>2.2000000000000002</v>
      </c>
      <c r="BE13" s="75" t="s">
        <v>37</v>
      </c>
      <c r="BF13" s="75"/>
      <c r="BG13" s="75"/>
      <c r="BH13" s="75"/>
      <c r="BI13" s="75"/>
      <c r="BJ13" s="75"/>
      <c r="BK13" s="75"/>
      <c r="BL13" s="75"/>
      <c r="BM13" s="75"/>
      <c r="BN13" s="75"/>
      <c r="BO13" s="76"/>
    </row>
    <row r="14" spans="2:67" ht="20.100000000000001" customHeight="1" x14ac:dyDescent="0.2">
      <c r="B14" s="6">
        <v>2.2999999999999998</v>
      </c>
      <c r="C14" s="75" t="s">
        <v>38</v>
      </c>
      <c r="D14" s="75"/>
      <c r="E14" s="75"/>
      <c r="F14" s="75"/>
      <c r="G14" s="75"/>
      <c r="H14" s="75"/>
      <c r="I14" s="75"/>
      <c r="J14" s="75"/>
      <c r="K14" s="75"/>
      <c r="L14" s="75"/>
      <c r="M14" s="76"/>
      <c r="P14" s="6">
        <v>2.2999999999999998</v>
      </c>
      <c r="Q14" s="75" t="s">
        <v>38</v>
      </c>
      <c r="R14" s="75"/>
      <c r="S14" s="75"/>
      <c r="T14" s="75"/>
      <c r="U14" s="75"/>
      <c r="V14" s="75"/>
      <c r="W14" s="75"/>
      <c r="X14" s="75"/>
      <c r="Y14" s="75"/>
      <c r="Z14" s="75"/>
      <c r="AA14" s="76"/>
      <c r="AD14" s="29">
        <v>1.1000000000000001</v>
      </c>
      <c r="AE14" s="75" t="s">
        <v>35</v>
      </c>
      <c r="AF14" s="75"/>
      <c r="AG14" s="75"/>
      <c r="AH14" s="75"/>
      <c r="AI14" s="75"/>
      <c r="AJ14" s="75"/>
      <c r="AK14" s="75"/>
      <c r="AL14" s="75"/>
      <c r="AM14" s="75"/>
      <c r="AN14" s="75"/>
      <c r="AO14" s="76"/>
      <c r="AQ14" s="6">
        <v>2.2999999999999998</v>
      </c>
      <c r="AR14" s="75" t="s">
        <v>38</v>
      </c>
      <c r="AS14" s="75"/>
      <c r="AT14" s="75"/>
      <c r="AU14" s="75"/>
      <c r="AV14" s="75"/>
      <c r="AW14" s="75"/>
      <c r="AX14" s="75"/>
      <c r="AY14" s="75"/>
      <c r="AZ14" s="75"/>
      <c r="BA14" s="75"/>
      <c r="BB14" s="76"/>
      <c r="BD14" s="6">
        <v>2.2999999999999998</v>
      </c>
      <c r="BE14" s="75" t="s">
        <v>38</v>
      </c>
      <c r="BF14" s="75"/>
      <c r="BG14" s="75"/>
      <c r="BH14" s="75"/>
      <c r="BI14" s="75"/>
      <c r="BJ14" s="75"/>
      <c r="BK14" s="75"/>
      <c r="BL14" s="75"/>
      <c r="BM14" s="75"/>
      <c r="BN14" s="75"/>
      <c r="BO14" s="76"/>
    </row>
    <row r="15" spans="2:67" ht="20.100000000000001" customHeight="1" x14ac:dyDescent="0.2">
      <c r="B15" s="6">
        <v>2.4</v>
      </c>
      <c r="C15" s="75" t="s">
        <v>39</v>
      </c>
      <c r="D15" s="75"/>
      <c r="E15" s="75"/>
      <c r="F15" s="75"/>
      <c r="G15" s="75"/>
      <c r="H15" s="75"/>
      <c r="I15" s="75"/>
      <c r="J15" s="75"/>
      <c r="K15" s="75"/>
      <c r="L15" s="75"/>
      <c r="M15" s="76"/>
      <c r="P15" s="6">
        <v>2.4</v>
      </c>
      <c r="Q15" s="75" t="s">
        <v>39</v>
      </c>
      <c r="R15" s="75"/>
      <c r="S15" s="75"/>
      <c r="T15" s="75"/>
      <c r="U15" s="75"/>
      <c r="V15" s="75"/>
      <c r="W15" s="75"/>
      <c r="X15" s="75"/>
      <c r="Y15" s="75"/>
      <c r="Z15" s="75"/>
      <c r="AA15" s="76"/>
      <c r="AD15" s="97" t="s">
        <v>6</v>
      </c>
      <c r="AE15" s="98"/>
      <c r="AF15" s="101"/>
      <c r="AG15" s="101"/>
      <c r="AH15" s="101"/>
      <c r="AI15" s="101"/>
      <c r="AJ15" s="101"/>
      <c r="AK15" s="101"/>
      <c r="AL15" s="101"/>
      <c r="AM15" s="101"/>
      <c r="AN15" s="101"/>
      <c r="AO15" s="102"/>
      <c r="AQ15" s="6">
        <v>2.4</v>
      </c>
      <c r="AR15" s="75" t="s">
        <v>39</v>
      </c>
      <c r="AS15" s="75"/>
      <c r="AT15" s="75"/>
      <c r="AU15" s="75"/>
      <c r="AV15" s="75"/>
      <c r="AW15" s="75"/>
      <c r="AX15" s="75"/>
      <c r="AY15" s="75"/>
      <c r="AZ15" s="75"/>
      <c r="BA15" s="75"/>
      <c r="BB15" s="76"/>
      <c r="BD15" s="6">
        <v>2.4</v>
      </c>
      <c r="BE15" s="75" t="s">
        <v>39</v>
      </c>
      <c r="BF15" s="75"/>
      <c r="BG15" s="75"/>
      <c r="BH15" s="75"/>
      <c r="BI15" s="75"/>
      <c r="BJ15" s="75"/>
      <c r="BK15" s="75"/>
      <c r="BL15" s="75"/>
      <c r="BM15" s="75"/>
      <c r="BN15" s="75"/>
      <c r="BO15" s="76"/>
    </row>
    <row r="16" spans="2:67" ht="20.100000000000001" customHeight="1" x14ac:dyDescent="0.2">
      <c r="B16" s="77" t="s">
        <v>4</v>
      </c>
      <c r="C16" s="78"/>
      <c r="D16" s="79"/>
      <c r="E16" s="79"/>
      <c r="F16" s="79"/>
      <c r="G16" s="79"/>
      <c r="H16" s="79"/>
      <c r="I16" s="79"/>
      <c r="J16" s="79"/>
      <c r="K16" s="79"/>
      <c r="L16" s="79"/>
      <c r="M16" s="80"/>
      <c r="P16" s="77" t="s">
        <v>4</v>
      </c>
      <c r="Q16" s="78"/>
      <c r="R16" s="79"/>
      <c r="S16" s="79"/>
      <c r="T16" s="79"/>
      <c r="U16" s="79"/>
      <c r="V16" s="79"/>
      <c r="W16" s="79"/>
      <c r="X16" s="79"/>
      <c r="Y16" s="79"/>
      <c r="Z16" s="79"/>
      <c r="AA16" s="80"/>
      <c r="AD16" s="6">
        <v>2.1</v>
      </c>
      <c r="AE16" s="75" t="s">
        <v>36</v>
      </c>
      <c r="AF16" s="75"/>
      <c r="AG16" s="75"/>
      <c r="AH16" s="75"/>
      <c r="AI16" s="75"/>
      <c r="AJ16" s="75"/>
      <c r="AK16" s="75"/>
      <c r="AL16" s="75"/>
      <c r="AM16" s="75"/>
      <c r="AN16" s="75"/>
      <c r="AO16" s="76"/>
      <c r="AQ16" s="77" t="s">
        <v>4</v>
      </c>
      <c r="AR16" s="78"/>
      <c r="AS16" s="79"/>
      <c r="AT16" s="79"/>
      <c r="AU16" s="79"/>
      <c r="AV16" s="79"/>
      <c r="AW16" s="79"/>
      <c r="AX16" s="79"/>
      <c r="AY16" s="79"/>
      <c r="AZ16" s="79"/>
      <c r="BA16" s="79"/>
      <c r="BB16" s="80"/>
      <c r="BD16" s="77" t="s">
        <v>4</v>
      </c>
      <c r="BE16" s="78"/>
      <c r="BF16" s="79"/>
      <c r="BG16" s="79"/>
      <c r="BH16" s="79"/>
      <c r="BI16" s="79"/>
      <c r="BJ16" s="79"/>
      <c r="BK16" s="79"/>
      <c r="BL16" s="79"/>
      <c r="BM16" s="79"/>
      <c r="BN16" s="79"/>
      <c r="BO16" s="80"/>
    </row>
    <row r="17" spans="2:67" s="7" customFormat="1" ht="60.75" customHeight="1" x14ac:dyDescent="0.2">
      <c r="B17" s="2">
        <v>3.1</v>
      </c>
      <c r="C17" s="81" t="s">
        <v>97</v>
      </c>
      <c r="D17" s="81"/>
      <c r="E17" s="81"/>
      <c r="F17" s="81"/>
      <c r="G17" s="81"/>
      <c r="H17" s="81"/>
      <c r="I17" s="81"/>
      <c r="J17" s="81"/>
      <c r="K17" s="81"/>
      <c r="L17" s="81"/>
      <c r="M17" s="82"/>
      <c r="P17" s="2">
        <v>3.1</v>
      </c>
      <c r="Q17" s="81" t="s">
        <v>97</v>
      </c>
      <c r="R17" s="81"/>
      <c r="S17" s="81"/>
      <c r="T17" s="81"/>
      <c r="U17" s="81"/>
      <c r="V17" s="81"/>
      <c r="W17" s="81"/>
      <c r="X17" s="81"/>
      <c r="Y17" s="81"/>
      <c r="Z17" s="81"/>
      <c r="AA17" s="82"/>
      <c r="AD17" s="6">
        <v>2.2000000000000002</v>
      </c>
      <c r="AE17" s="75" t="s">
        <v>37</v>
      </c>
      <c r="AF17" s="75"/>
      <c r="AG17" s="75"/>
      <c r="AH17" s="75"/>
      <c r="AI17" s="75"/>
      <c r="AJ17" s="75"/>
      <c r="AK17" s="75"/>
      <c r="AL17" s="75"/>
      <c r="AM17" s="75"/>
      <c r="AN17" s="75"/>
      <c r="AO17" s="76"/>
      <c r="AQ17" s="2">
        <v>3.1</v>
      </c>
      <c r="AR17" s="81" t="s">
        <v>97</v>
      </c>
      <c r="AS17" s="81"/>
      <c r="AT17" s="81"/>
      <c r="AU17" s="81"/>
      <c r="AV17" s="81"/>
      <c r="AW17" s="81"/>
      <c r="AX17" s="81"/>
      <c r="AY17" s="81"/>
      <c r="AZ17" s="81"/>
      <c r="BA17" s="81"/>
      <c r="BB17" s="82"/>
      <c r="BD17" s="2">
        <v>3.1</v>
      </c>
      <c r="BE17" s="81" t="s">
        <v>98</v>
      </c>
      <c r="BF17" s="81"/>
      <c r="BG17" s="81"/>
      <c r="BH17" s="81"/>
      <c r="BI17" s="81"/>
      <c r="BJ17" s="81"/>
      <c r="BK17" s="81"/>
      <c r="BL17" s="81"/>
      <c r="BM17" s="81"/>
      <c r="BN17" s="81"/>
      <c r="BO17" s="82"/>
    </row>
    <row r="18" spans="2:67" ht="44.25" customHeight="1" x14ac:dyDescent="0.2">
      <c r="B18" s="2" t="s">
        <v>40</v>
      </c>
      <c r="C18" s="83" t="s">
        <v>41</v>
      </c>
      <c r="D18" s="83"/>
      <c r="E18" s="83"/>
      <c r="F18" s="33" t="s">
        <v>42</v>
      </c>
      <c r="G18" s="35" t="s">
        <v>19</v>
      </c>
      <c r="H18" s="35" t="s">
        <v>43</v>
      </c>
      <c r="I18" s="35" t="s">
        <v>44</v>
      </c>
      <c r="J18" s="35" t="s">
        <v>57</v>
      </c>
      <c r="K18" s="35" t="s">
        <v>75</v>
      </c>
      <c r="L18" s="73" t="s">
        <v>45</v>
      </c>
      <c r="M18" s="74"/>
      <c r="P18" s="2" t="s">
        <v>40</v>
      </c>
      <c r="Q18" s="83" t="s">
        <v>41</v>
      </c>
      <c r="R18" s="83"/>
      <c r="S18" s="83"/>
      <c r="T18" s="58" t="s">
        <v>42</v>
      </c>
      <c r="U18" s="64" t="s">
        <v>19</v>
      </c>
      <c r="V18" s="64" t="s">
        <v>43</v>
      </c>
      <c r="W18" s="64" t="s">
        <v>44</v>
      </c>
      <c r="X18" s="64" t="s">
        <v>57</v>
      </c>
      <c r="Y18" s="64" t="s">
        <v>75</v>
      </c>
      <c r="Z18" s="73" t="s">
        <v>45</v>
      </c>
      <c r="AA18" s="74"/>
      <c r="AD18" s="6">
        <v>2.2999999999999998</v>
      </c>
      <c r="AE18" s="75" t="s">
        <v>38</v>
      </c>
      <c r="AF18" s="75"/>
      <c r="AG18" s="75"/>
      <c r="AH18" s="75"/>
      <c r="AI18" s="75"/>
      <c r="AJ18" s="75"/>
      <c r="AK18" s="75"/>
      <c r="AL18" s="75"/>
      <c r="AM18" s="75"/>
      <c r="AN18" s="75"/>
      <c r="AO18" s="76"/>
      <c r="AQ18" s="2" t="s">
        <v>40</v>
      </c>
      <c r="AR18" s="83" t="s">
        <v>41</v>
      </c>
      <c r="AS18" s="83"/>
      <c r="AT18" s="83"/>
      <c r="AU18" s="58" t="s">
        <v>42</v>
      </c>
      <c r="AV18" s="64" t="s">
        <v>19</v>
      </c>
      <c r="AW18" s="64" t="s">
        <v>43</v>
      </c>
      <c r="AX18" s="64" t="s">
        <v>44</v>
      </c>
      <c r="AY18" s="64" t="s">
        <v>57</v>
      </c>
      <c r="AZ18" s="64" t="s">
        <v>75</v>
      </c>
      <c r="BA18" s="73" t="s">
        <v>45</v>
      </c>
      <c r="BB18" s="74"/>
      <c r="BD18" s="2" t="s">
        <v>40</v>
      </c>
      <c r="BE18" s="39" t="s">
        <v>44</v>
      </c>
      <c r="BF18" s="58" t="s">
        <v>113</v>
      </c>
      <c r="BG18" s="58" t="s">
        <v>105</v>
      </c>
      <c r="BH18" s="58" t="s">
        <v>106</v>
      </c>
      <c r="BI18" s="58" t="s">
        <v>99</v>
      </c>
      <c r="BJ18" s="58" t="s">
        <v>107</v>
      </c>
      <c r="BK18" s="58" t="s">
        <v>100</v>
      </c>
      <c r="BL18" s="39" t="s">
        <v>108</v>
      </c>
      <c r="BM18" s="58" t="s">
        <v>57</v>
      </c>
      <c r="BN18" s="103" t="s">
        <v>75</v>
      </c>
      <c r="BO18" s="104"/>
    </row>
    <row r="19" spans="2:67" ht="87.75" customHeight="1" x14ac:dyDescent="0.2">
      <c r="B19" s="29" t="s">
        <v>83</v>
      </c>
      <c r="C19" s="75" t="s">
        <v>24</v>
      </c>
      <c r="D19" s="75"/>
      <c r="E19" s="75"/>
      <c r="F19" s="21">
        <v>0.04</v>
      </c>
      <c r="G19" s="15">
        <v>31</v>
      </c>
      <c r="H19" s="21">
        <f>F19*G19</f>
        <v>1.24</v>
      </c>
      <c r="I19" s="18" t="s">
        <v>9</v>
      </c>
      <c r="J19" s="30" t="s">
        <v>60</v>
      </c>
      <c r="K19" s="30" t="s">
        <v>116</v>
      </c>
      <c r="L19" s="73"/>
      <c r="M19" s="74"/>
      <c r="P19" s="29" t="s">
        <v>83</v>
      </c>
      <c r="Q19" s="75" t="s">
        <v>24</v>
      </c>
      <c r="R19" s="75"/>
      <c r="S19" s="75"/>
      <c r="T19" s="21">
        <v>0.04</v>
      </c>
      <c r="U19" s="15">
        <v>8</v>
      </c>
      <c r="V19" s="21">
        <f>T19*U19</f>
        <v>0.32</v>
      </c>
      <c r="W19" s="18" t="s">
        <v>9</v>
      </c>
      <c r="X19" s="60" t="s">
        <v>60</v>
      </c>
      <c r="Y19" s="60" t="s">
        <v>116</v>
      </c>
      <c r="Z19" s="73"/>
      <c r="AA19" s="74"/>
      <c r="AD19" s="6">
        <v>2.4</v>
      </c>
      <c r="AE19" s="75" t="s">
        <v>39</v>
      </c>
      <c r="AF19" s="75"/>
      <c r="AG19" s="75"/>
      <c r="AH19" s="75"/>
      <c r="AI19" s="75"/>
      <c r="AJ19" s="75"/>
      <c r="AK19" s="75"/>
      <c r="AL19" s="75"/>
      <c r="AM19" s="75"/>
      <c r="AN19" s="75"/>
      <c r="AO19" s="76"/>
      <c r="AQ19" s="29" t="s">
        <v>86</v>
      </c>
      <c r="AR19" s="75" t="s">
        <v>26</v>
      </c>
      <c r="AS19" s="75"/>
      <c r="AT19" s="75"/>
      <c r="AU19" s="21">
        <v>0.3</v>
      </c>
      <c r="AV19" s="15">
        <v>21</v>
      </c>
      <c r="AW19" s="21">
        <f t="shared" ref="AW19:AW22" si="0">AU19*AV19</f>
        <v>6.3</v>
      </c>
      <c r="AX19" s="18" t="s">
        <v>20</v>
      </c>
      <c r="AY19" s="60" t="s">
        <v>63</v>
      </c>
      <c r="AZ19" s="143" t="s">
        <v>149</v>
      </c>
      <c r="BA19" s="73"/>
      <c r="BB19" s="74"/>
      <c r="BD19" s="29" t="s">
        <v>83</v>
      </c>
      <c r="BE19" s="18" t="s">
        <v>101</v>
      </c>
      <c r="BF19" s="57">
        <v>406.4</v>
      </c>
      <c r="BG19" s="18">
        <v>90</v>
      </c>
      <c r="BH19" s="57">
        <v>5</v>
      </c>
      <c r="BI19" s="18">
        <v>4</v>
      </c>
      <c r="BJ19" s="63">
        <v>25.81</v>
      </c>
      <c r="BK19" s="57">
        <v>1</v>
      </c>
      <c r="BL19" s="38">
        <f t="shared" ref="BL19" si="1">BK19*BJ19</f>
        <v>25.81</v>
      </c>
      <c r="BM19" s="155" t="s">
        <v>161</v>
      </c>
      <c r="BN19" s="156" t="s">
        <v>162</v>
      </c>
      <c r="BO19" s="157"/>
    </row>
    <row r="20" spans="2:67" ht="87.75" customHeight="1" x14ac:dyDescent="0.2">
      <c r="B20" s="29" t="s">
        <v>84</v>
      </c>
      <c r="C20" s="75" t="s">
        <v>58</v>
      </c>
      <c r="D20" s="75"/>
      <c r="E20" s="75"/>
      <c r="F20" s="21">
        <v>0.06</v>
      </c>
      <c r="G20" s="15">
        <v>1</v>
      </c>
      <c r="H20" s="21">
        <f t="shared" ref="H20:H32" si="2">F20*G20</f>
        <v>0.06</v>
      </c>
      <c r="I20" s="18" t="s">
        <v>59</v>
      </c>
      <c r="J20" s="30" t="s">
        <v>61</v>
      </c>
      <c r="K20" s="30" t="s">
        <v>117</v>
      </c>
      <c r="L20" s="73"/>
      <c r="M20" s="74"/>
      <c r="P20" s="29" t="s">
        <v>84</v>
      </c>
      <c r="Q20" s="75" t="s">
        <v>25</v>
      </c>
      <c r="R20" s="75"/>
      <c r="S20" s="75"/>
      <c r="T20" s="21">
        <v>0.13</v>
      </c>
      <c r="U20" s="15">
        <v>72</v>
      </c>
      <c r="V20" s="21">
        <f t="shared" ref="V20:V30" si="3">T20*U20</f>
        <v>9.36</v>
      </c>
      <c r="W20" s="18" t="s">
        <v>10</v>
      </c>
      <c r="X20" s="60" t="s">
        <v>62</v>
      </c>
      <c r="Y20" s="60" t="s">
        <v>118</v>
      </c>
      <c r="Z20" s="73"/>
      <c r="AA20" s="74"/>
      <c r="AD20" s="77" t="s">
        <v>4</v>
      </c>
      <c r="AE20" s="78"/>
      <c r="AF20" s="79"/>
      <c r="AG20" s="79"/>
      <c r="AH20" s="79"/>
      <c r="AI20" s="79"/>
      <c r="AJ20" s="79"/>
      <c r="AK20" s="79"/>
      <c r="AL20" s="79"/>
      <c r="AM20" s="79"/>
      <c r="AN20" s="79"/>
      <c r="AO20" s="80"/>
      <c r="AQ20" s="29" t="s">
        <v>87</v>
      </c>
      <c r="AR20" s="75" t="s">
        <v>27</v>
      </c>
      <c r="AS20" s="75"/>
      <c r="AT20" s="75"/>
      <c r="AU20" s="21">
        <v>0.47</v>
      </c>
      <c r="AV20" s="15">
        <v>27</v>
      </c>
      <c r="AW20" s="21">
        <f t="shared" si="0"/>
        <v>12.69</v>
      </c>
      <c r="AX20" s="18" t="s">
        <v>8</v>
      </c>
      <c r="AY20" s="60" t="s">
        <v>64</v>
      </c>
      <c r="AZ20" s="143" t="s">
        <v>150</v>
      </c>
      <c r="BA20" s="73"/>
      <c r="BB20" s="74"/>
      <c r="BD20" s="29"/>
      <c r="BE20" s="83"/>
      <c r="BF20" s="83"/>
      <c r="BG20" s="83"/>
      <c r="BH20" s="110" t="s">
        <v>46</v>
      </c>
      <c r="BI20" s="111"/>
      <c r="BJ20" s="112"/>
      <c r="BK20" s="31">
        <f>SUM(BK19:BK19)</f>
        <v>1</v>
      </c>
      <c r="BL20" s="32">
        <f>SUM(BL19:BL19)</f>
        <v>25.81</v>
      </c>
      <c r="BM20" s="42"/>
      <c r="BN20" s="115"/>
      <c r="BO20" s="116"/>
    </row>
    <row r="21" spans="2:67" ht="87.75" customHeight="1" x14ac:dyDescent="0.2">
      <c r="B21" s="29" t="s">
        <v>85</v>
      </c>
      <c r="C21" s="75" t="s">
        <v>25</v>
      </c>
      <c r="D21" s="75"/>
      <c r="E21" s="75"/>
      <c r="F21" s="21">
        <v>0.13</v>
      </c>
      <c r="G21" s="15">
        <v>105</v>
      </c>
      <c r="H21" s="21">
        <f t="shared" si="2"/>
        <v>13.65</v>
      </c>
      <c r="I21" s="18" t="s">
        <v>10</v>
      </c>
      <c r="J21" s="30" t="s">
        <v>62</v>
      </c>
      <c r="K21" s="30" t="s">
        <v>118</v>
      </c>
      <c r="L21" s="73"/>
      <c r="M21" s="74"/>
      <c r="P21" s="29" t="s">
        <v>85</v>
      </c>
      <c r="Q21" s="75" t="s">
        <v>26</v>
      </c>
      <c r="R21" s="75"/>
      <c r="S21" s="75"/>
      <c r="T21" s="21">
        <v>0.3</v>
      </c>
      <c r="U21" s="15">
        <v>11</v>
      </c>
      <c r="V21" s="21">
        <f t="shared" si="3"/>
        <v>3.3</v>
      </c>
      <c r="W21" s="18" t="s">
        <v>20</v>
      </c>
      <c r="X21" s="60" t="s">
        <v>63</v>
      </c>
      <c r="Y21" s="60" t="s">
        <v>119</v>
      </c>
      <c r="Z21" s="73"/>
      <c r="AA21" s="74"/>
      <c r="AD21" s="2">
        <v>3.1</v>
      </c>
      <c r="AE21" s="81" t="s">
        <v>97</v>
      </c>
      <c r="AF21" s="81"/>
      <c r="AG21" s="81"/>
      <c r="AH21" s="81"/>
      <c r="AI21" s="81"/>
      <c r="AJ21" s="81"/>
      <c r="AK21" s="81"/>
      <c r="AL21" s="81"/>
      <c r="AM21" s="81"/>
      <c r="AN21" s="81"/>
      <c r="AO21" s="82"/>
      <c r="AQ21" s="29" t="s">
        <v>95</v>
      </c>
      <c r="AR21" s="75" t="s">
        <v>34</v>
      </c>
      <c r="AS21" s="75"/>
      <c r="AT21" s="75"/>
      <c r="AU21" s="21">
        <v>22.5</v>
      </c>
      <c r="AV21" s="15">
        <v>13</v>
      </c>
      <c r="AW21" s="21">
        <f t="shared" si="0"/>
        <v>292.5</v>
      </c>
      <c r="AX21" s="18" t="s">
        <v>23</v>
      </c>
      <c r="AY21" s="60" t="s">
        <v>73</v>
      </c>
      <c r="AZ21" s="143" t="s">
        <v>151</v>
      </c>
      <c r="BA21" s="73"/>
      <c r="BB21" s="74"/>
      <c r="BD21" s="107" t="s">
        <v>22</v>
      </c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9"/>
    </row>
    <row r="22" spans="2:67" ht="87.75" customHeight="1" x14ac:dyDescent="0.2">
      <c r="B22" s="29" t="s">
        <v>86</v>
      </c>
      <c r="C22" s="75" t="s">
        <v>26</v>
      </c>
      <c r="D22" s="75"/>
      <c r="E22" s="75"/>
      <c r="F22" s="21">
        <v>0.3</v>
      </c>
      <c r="G22" s="15">
        <v>68</v>
      </c>
      <c r="H22" s="21">
        <f t="shared" si="2"/>
        <v>20.399999999999999</v>
      </c>
      <c r="I22" s="18" t="s">
        <v>20</v>
      </c>
      <c r="J22" s="30" t="s">
        <v>63</v>
      </c>
      <c r="K22" s="30" t="s">
        <v>119</v>
      </c>
      <c r="L22" s="73"/>
      <c r="M22" s="74"/>
      <c r="P22" s="29" t="s">
        <v>86</v>
      </c>
      <c r="Q22" s="75" t="s">
        <v>27</v>
      </c>
      <c r="R22" s="75"/>
      <c r="S22" s="75"/>
      <c r="T22" s="21">
        <v>0.47</v>
      </c>
      <c r="U22" s="15">
        <v>24</v>
      </c>
      <c r="V22" s="21">
        <f t="shared" si="3"/>
        <v>11.28</v>
      </c>
      <c r="W22" s="18" t="s">
        <v>8</v>
      </c>
      <c r="X22" s="60" t="s">
        <v>64</v>
      </c>
      <c r="Y22" s="60" t="s">
        <v>120</v>
      </c>
      <c r="Z22" s="73"/>
      <c r="AA22" s="74"/>
      <c r="AD22" s="2" t="s">
        <v>40</v>
      </c>
      <c r="AE22" s="83" t="s">
        <v>41</v>
      </c>
      <c r="AF22" s="83"/>
      <c r="AG22" s="83"/>
      <c r="AH22" s="58" t="s">
        <v>42</v>
      </c>
      <c r="AI22" s="64" t="s">
        <v>19</v>
      </c>
      <c r="AJ22" s="64" t="s">
        <v>43</v>
      </c>
      <c r="AK22" s="64" t="s">
        <v>44</v>
      </c>
      <c r="AL22" s="64" t="s">
        <v>57</v>
      </c>
      <c r="AM22" s="64" t="s">
        <v>75</v>
      </c>
      <c r="AN22" s="73" t="s">
        <v>45</v>
      </c>
      <c r="AO22" s="74"/>
      <c r="AQ22" s="29" t="s">
        <v>96</v>
      </c>
      <c r="AR22" s="75" t="s">
        <v>54</v>
      </c>
      <c r="AS22" s="75"/>
      <c r="AT22" s="75"/>
      <c r="AU22" s="21">
        <v>28.86</v>
      </c>
      <c r="AV22" s="15">
        <v>3</v>
      </c>
      <c r="AW22" s="21">
        <f t="shared" si="0"/>
        <v>86.58</v>
      </c>
      <c r="AX22" s="18" t="s">
        <v>56</v>
      </c>
      <c r="AY22" s="60" t="s">
        <v>72</v>
      </c>
      <c r="AZ22" s="143" t="s">
        <v>152</v>
      </c>
      <c r="BA22" s="73"/>
      <c r="BB22" s="74"/>
      <c r="BD22" s="6">
        <v>4.0999999999999996</v>
      </c>
      <c r="BE22" s="69" t="s">
        <v>47</v>
      </c>
      <c r="BF22" s="70"/>
      <c r="BG22" s="70"/>
      <c r="BH22" s="70"/>
      <c r="BI22" s="70"/>
      <c r="BJ22" s="70"/>
      <c r="BK22" s="70"/>
      <c r="BL22" s="70"/>
      <c r="BM22" s="70"/>
      <c r="BN22" s="70"/>
      <c r="BO22" s="71"/>
    </row>
    <row r="23" spans="2:67" ht="87.75" customHeight="1" x14ac:dyDescent="0.2">
      <c r="B23" s="29" t="s">
        <v>87</v>
      </c>
      <c r="C23" s="75" t="s">
        <v>27</v>
      </c>
      <c r="D23" s="75"/>
      <c r="E23" s="75"/>
      <c r="F23" s="21">
        <v>0.47</v>
      </c>
      <c r="G23" s="15">
        <v>52</v>
      </c>
      <c r="H23" s="21">
        <f t="shared" si="2"/>
        <v>24.439999999999998</v>
      </c>
      <c r="I23" s="18" t="s">
        <v>8</v>
      </c>
      <c r="J23" s="30" t="s">
        <v>64</v>
      </c>
      <c r="K23" s="30" t="s">
        <v>120</v>
      </c>
      <c r="L23" s="73"/>
      <c r="M23" s="74"/>
      <c r="P23" s="29" t="s">
        <v>87</v>
      </c>
      <c r="Q23" s="75" t="s">
        <v>55</v>
      </c>
      <c r="R23" s="75"/>
      <c r="S23" s="75"/>
      <c r="T23" s="21">
        <v>0.82</v>
      </c>
      <c r="U23" s="15">
        <v>61</v>
      </c>
      <c r="V23" s="21">
        <f t="shared" si="3"/>
        <v>50.019999999999996</v>
      </c>
      <c r="W23" s="18" t="s">
        <v>11</v>
      </c>
      <c r="X23" s="60" t="s">
        <v>65</v>
      </c>
      <c r="Y23" s="60" t="s">
        <v>121</v>
      </c>
      <c r="Z23" s="73"/>
      <c r="AA23" s="74"/>
      <c r="AD23" s="29" t="s">
        <v>83</v>
      </c>
      <c r="AE23" s="75" t="s">
        <v>54</v>
      </c>
      <c r="AF23" s="75"/>
      <c r="AG23" s="75"/>
      <c r="AH23" s="21">
        <v>28.86</v>
      </c>
      <c r="AI23" s="15">
        <v>26</v>
      </c>
      <c r="AJ23" s="21">
        <f t="shared" ref="AJ23" si="4">AH23*AI23</f>
        <v>750.36</v>
      </c>
      <c r="AK23" s="18" t="s">
        <v>56</v>
      </c>
      <c r="AL23" s="60" t="s">
        <v>72</v>
      </c>
      <c r="AM23" s="60" t="s">
        <v>129</v>
      </c>
      <c r="AN23" s="73"/>
      <c r="AO23" s="74"/>
      <c r="AQ23" s="29"/>
      <c r="AR23" s="83"/>
      <c r="AS23" s="83"/>
      <c r="AT23" s="83"/>
      <c r="AU23" s="31" t="s">
        <v>46</v>
      </c>
      <c r="AV23" s="31">
        <f>SUM(AV19:AV22)</f>
        <v>64</v>
      </c>
      <c r="AW23" s="32">
        <f>SUM(AW19:AW22)</f>
        <v>398.07</v>
      </c>
      <c r="AX23" s="105"/>
      <c r="AY23" s="105"/>
      <c r="AZ23" s="105"/>
      <c r="BA23" s="105"/>
      <c r="BB23" s="106"/>
      <c r="BD23" s="6">
        <v>4.2</v>
      </c>
      <c r="BE23" s="69" t="s">
        <v>163</v>
      </c>
      <c r="BF23" s="70"/>
      <c r="BG23" s="70"/>
      <c r="BH23" s="70"/>
      <c r="BI23" s="70"/>
      <c r="BJ23" s="70"/>
      <c r="BK23" s="70"/>
      <c r="BL23" s="70"/>
      <c r="BM23" s="70"/>
      <c r="BN23" s="70"/>
      <c r="BO23" s="71"/>
    </row>
    <row r="24" spans="2:67" ht="76.5" customHeight="1" x14ac:dyDescent="0.2">
      <c r="B24" s="29" t="s">
        <v>88</v>
      </c>
      <c r="C24" s="75" t="s">
        <v>55</v>
      </c>
      <c r="D24" s="75"/>
      <c r="E24" s="75"/>
      <c r="F24" s="21">
        <v>0.82</v>
      </c>
      <c r="G24" s="15">
        <v>61</v>
      </c>
      <c r="H24" s="21">
        <f t="shared" si="2"/>
        <v>50.019999999999996</v>
      </c>
      <c r="I24" s="18" t="s">
        <v>11</v>
      </c>
      <c r="J24" s="30" t="s">
        <v>65</v>
      </c>
      <c r="K24" s="30" t="s">
        <v>121</v>
      </c>
      <c r="L24" s="73"/>
      <c r="M24" s="74"/>
      <c r="P24" s="29" t="s">
        <v>88</v>
      </c>
      <c r="Q24" s="75" t="s">
        <v>28</v>
      </c>
      <c r="R24" s="75"/>
      <c r="S24" s="75"/>
      <c r="T24" s="21">
        <v>0.87</v>
      </c>
      <c r="U24" s="15">
        <v>18</v>
      </c>
      <c r="V24" s="21">
        <f t="shared" si="3"/>
        <v>15.66</v>
      </c>
      <c r="W24" s="18" t="s">
        <v>12</v>
      </c>
      <c r="X24" s="60" t="s">
        <v>66</v>
      </c>
      <c r="Y24" s="60" t="s">
        <v>122</v>
      </c>
      <c r="Z24" s="73"/>
      <c r="AA24" s="74"/>
      <c r="AD24" s="29"/>
      <c r="AE24" s="83"/>
      <c r="AF24" s="83"/>
      <c r="AG24" s="83"/>
      <c r="AH24" s="58" t="s">
        <v>46</v>
      </c>
      <c r="AI24" s="31">
        <f>SUM(AI23:AI23)</f>
        <v>26</v>
      </c>
      <c r="AJ24" s="32">
        <f>SUM(AJ23:AJ23)</f>
        <v>750.36</v>
      </c>
      <c r="AK24" s="105"/>
      <c r="AL24" s="105"/>
      <c r="AM24" s="105"/>
      <c r="AN24" s="105"/>
      <c r="AO24" s="106"/>
      <c r="AQ24" s="2">
        <v>3.2</v>
      </c>
      <c r="AR24" s="81" t="s">
        <v>98</v>
      </c>
      <c r="AS24" s="81"/>
      <c r="AT24" s="81"/>
      <c r="AU24" s="81"/>
      <c r="AV24" s="81"/>
      <c r="AW24" s="81"/>
      <c r="AX24" s="81"/>
      <c r="AY24" s="81"/>
      <c r="AZ24" s="81"/>
      <c r="BA24" s="81"/>
      <c r="BB24" s="82"/>
      <c r="BD24" s="6">
        <v>4.3</v>
      </c>
      <c r="BE24" s="69" t="s">
        <v>49</v>
      </c>
      <c r="BF24" s="70"/>
      <c r="BG24" s="70"/>
      <c r="BH24" s="70"/>
      <c r="BI24" s="70"/>
      <c r="BJ24" s="70"/>
      <c r="BK24" s="70"/>
      <c r="BL24" s="70"/>
      <c r="BM24" s="70"/>
      <c r="BN24" s="70"/>
      <c r="BO24" s="71"/>
    </row>
    <row r="25" spans="2:67" ht="76.5" customHeight="1" x14ac:dyDescent="0.2">
      <c r="B25" s="29" t="s">
        <v>89</v>
      </c>
      <c r="C25" s="75" t="s">
        <v>28</v>
      </c>
      <c r="D25" s="75"/>
      <c r="E25" s="75"/>
      <c r="F25" s="21">
        <v>0.87</v>
      </c>
      <c r="G25" s="15">
        <v>21</v>
      </c>
      <c r="H25" s="21">
        <f t="shared" si="2"/>
        <v>18.27</v>
      </c>
      <c r="I25" s="18" t="s">
        <v>12</v>
      </c>
      <c r="J25" s="30" t="s">
        <v>66</v>
      </c>
      <c r="K25" s="30" t="s">
        <v>122</v>
      </c>
      <c r="L25" s="73"/>
      <c r="M25" s="74"/>
      <c r="P25" s="29" t="s">
        <v>89</v>
      </c>
      <c r="Q25" s="75" t="s">
        <v>29</v>
      </c>
      <c r="R25" s="75"/>
      <c r="S25" s="75"/>
      <c r="T25" s="21">
        <v>1.4</v>
      </c>
      <c r="U25" s="15">
        <v>12</v>
      </c>
      <c r="V25" s="21">
        <f t="shared" si="3"/>
        <v>16.799999999999997</v>
      </c>
      <c r="W25" s="18" t="s">
        <v>14</v>
      </c>
      <c r="X25" s="60" t="s">
        <v>67</v>
      </c>
      <c r="Y25" s="60" t="s">
        <v>123</v>
      </c>
      <c r="Z25" s="73"/>
      <c r="AA25" s="74"/>
      <c r="AD25" s="107" t="s">
        <v>22</v>
      </c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9"/>
      <c r="AQ25" s="2" t="s">
        <v>40</v>
      </c>
      <c r="AR25" s="39" t="s">
        <v>44</v>
      </c>
      <c r="AS25" s="58" t="s">
        <v>113</v>
      </c>
      <c r="AT25" s="58" t="s">
        <v>105</v>
      </c>
      <c r="AU25" s="58" t="s">
        <v>106</v>
      </c>
      <c r="AV25" s="58" t="s">
        <v>99</v>
      </c>
      <c r="AW25" s="58" t="s">
        <v>107</v>
      </c>
      <c r="AX25" s="58" t="s">
        <v>100</v>
      </c>
      <c r="AY25" s="39" t="s">
        <v>108</v>
      </c>
      <c r="AZ25" s="58" t="s">
        <v>57</v>
      </c>
      <c r="BA25" s="103" t="s">
        <v>75</v>
      </c>
      <c r="BB25" s="104"/>
      <c r="BD25" s="6">
        <v>4.4000000000000004</v>
      </c>
      <c r="BE25" s="69" t="s">
        <v>53</v>
      </c>
      <c r="BF25" s="70"/>
      <c r="BG25" s="70"/>
      <c r="BH25" s="70"/>
      <c r="BI25" s="70"/>
      <c r="BJ25" s="70"/>
      <c r="BK25" s="70"/>
      <c r="BL25" s="70"/>
      <c r="BM25" s="70"/>
      <c r="BN25" s="70"/>
      <c r="BO25" s="71"/>
    </row>
    <row r="26" spans="2:67" ht="76.5" customHeight="1" x14ac:dyDescent="0.2">
      <c r="B26" s="29" t="s">
        <v>90</v>
      </c>
      <c r="C26" s="75" t="s">
        <v>29</v>
      </c>
      <c r="D26" s="75"/>
      <c r="E26" s="75"/>
      <c r="F26" s="21">
        <v>1.4</v>
      </c>
      <c r="G26" s="15">
        <v>42</v>
      </c>
      <c r="H26" s="21">
        <f t="shared" si="2"/>
        <v>58.8</v>
      </c>
      <c r="I26" s="18" t="s">
        <v>14</v>
      </c>
      <c r="J26" s="30" t="s">
        <v>67</v>
      </c>
      <c r="K26" s="30" t="s">
        <v>123</v>
      </c>
      <c r="L26" s="73"/>
      <c r="M26" s="74"/>
      <c r="P26" s="29" t="s">
        <v>90</v>
      </c>
      <c r="Q26" s="75" t="s">
        <v>30</v>
      </c>
      <c r="R26" s="75"/>
      <c r="S26" s="75"/>
      <c r="T26" s="21">
        <v>2.84</v>
      </c>
      <c r="U26" s="15">
        <v>2</v>
      </c>
      <c r="V26" s="21">
        <f t="shared" si="3"/>
        <v>5.68</v>
      </c>
      <c r="W26" s="18" t="s">
        <v>15</v>
      </c>
      <c r="X26" s="60" t="s">
        <v>68</v>
      </c>
      <c r="Y26" s="60" t="s">
        <v>124</v>
      </c>
      <c r="Z26" s="73"/>
      <c r="AA26" s="74"/>
      <c r="AD26" s="6">
        <v>4.0999999999999996</v>
      </c>
      <c r="AE26" s="69" t="s">
        <v>47</v>
      </c>
      <c r="AF26" s="70"/>
      <c r="AG26" s="70"/>
      <c r="AH26" s="70"/>
      <c r="AI26" s="70"/>
      <c r="AJ26" s="70"/>
      <c r="AK26" s="70"/>
      <c r="AL26" s="70"/>
      <c r="AM26" s="70"/>
      <c r="AN26" s="70"/>
      <c r="AO26" s="71"/>
      <c r="AQ26" s="29" t="s">
        <v>80</v>
      </c>
      <c r="AR26" s="18" t="s">
        <v>153</v>
      </c>
      <c r="AS26" s="136">
        <v>457.2</v>
      </c>
      <c r="AT26" s="18">
        <v>90</v>
      </c>
      <c r="AU26" s="136">
        <v>5</v>
      </c>
      <c r="AV26" s="18">
        <v>4</v>
      </c>
      <c r="AW26" s="18">
        <v>32.72</v>
      </c>
      <c r="AX26" s="136">
        <v>1</v>
      </c>
      <c r="AY26" s="144">
        <f t="shared" ref="AY26:AY27" si="5">AX26*AW26</f>
        <v>32.72</v>
      </c>
      <c r="AZ26" s="145" t="s">
        <v>154</v>
      </c>
      <c r="BA26" s="137" t="s">
        <v>155</v>
      </c>
      <c r="BB26" s="146"/>
      <c r="BD26" s="107" t="s">
        <v>21</v>
      </c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9"/>
    </row>
    <row r="27" spans="2:67" s="10" customFormat="1" ht="76.5" customHeight="1" x14ac:dyDescent="0.2">
      <c r="B27" s="29" t="s">
        <v>91</v>
      </c>
      <c r="C27" s="75" t="s">
        <v>30</v>
      </c>
      <c r="D27" s="75"/>
      <c r="E27" s="75"/>
      <c r="F27" s="21">
        <v>2.84</v>
      </c>
      <c r="G27" s="15">
        <v>9</v>
      </c>
      <c r="H27" s="21">
        <f t="shared" si="2"/>
        <v>25.56</v>
      </c>
      <c r="I27" s="18" t="s">
        <v>15</v>
      </c>
      <c r="J27" s="30" t="s">
        <v>68</v>
      </c>
      <c r="K27" s="30" t="s">
        <v>124</v>
      </c>
      <c r="L27" s="73"/>
      <c r="M27" s="74"/>
      <c r="P27" s="29" t="s">
        <v>91</v>
      </c>
      <c r="Q27" s="75" t="s">
        <v>31</v>
      </c>
      <c r="R27" s="75"/>
      <c r="S27" s="75"/>
      <c r="T27" s="21">
        <v>4.07</v>
      </c>
      <c r="U27" s="15">
        <v>57</v>
      </c>
      <c r="V27" s="21">
        <f t="shared" si="3"/>
        <v>231.99</v>
      </c>
      <c r="W27" s="18" t="s">
        <v>16</v>
      </c>
      <c r="X27" s="60" t="s">
        <v>69</v>
      </c>
      <c r="Y27" s="60" t="s">
        <v>125</v>
      </c>
      <c r="Z27" s="73"/>
      <c r="AA27" s="74"/>
      <c r="AD27" s="6">
        <v>4.2</v>
      </c>
      <c r="AE27" s="69" t="s">
        <v>48</v>
      </c>
      <c r="AF27" s="70"/>
      <c r="AG27" s="70"/>
      <c r="AH27" s="70"/>
      <c r="AI27" s="70"/>
      <c r="AJ27" s="70"/>
      <c r="AK27" s="70"/>
      <c r="AL27" s="70"/>
      <c r="AM27" s="70"/>
      <c r="AN27" s="70"/>
      <c r="AO27" s="71"/>
      <c r="AQ27" s="29" t="s">
        <v>81</v>
      </c>
      <c r="AR27" s="18" t="s">
        <v>103</v>
      </c>
      <c r="AS27" s="136">
        <v>711.2</v>
      </c>
      <c r="AT27" s="18">
        <v>90</v>
      </c>
      <c r="AU27" s="136">
        <v>5</v>
      </c>
      <c r="AV27" s="18">
        <v>5</v>
      </c>
      <c r="AW27" s="147">
        <v>99.05</v>
      </c>
      <c r="AX27" s="136">
        <v>3</v>
      </c>
      <c r="AY27" s="144">
        <f t="shared" si="5"/>
        <v>297.14999999999998</v>
      </c>
      <c r="AZ27" s="145" t="s">
        <v>104</v>
      </c>
      <c r="BA27" s="148" t="s">
        <v>131</v>
      </c>
      <c r="BB27" s="149"/>
      <c r="BD27" s="6">
        <v>5.0999999999999996</v>
      </c>
      <c r="BE27" s="69" t="s">
        <v>50</v>
      </c>
      <c r="BF27" s="70"/>
      <c r="BG27" s="70"/>
      <c r="BH27" s="70"/>
      <c r="BI27" s="70"/>
      <c r="BJ27" s="70"/>
      <c r="BK27" s="70"/>
      <c r="BL27" s="70"/>
      <c r="BM27" s="70"/>
      <c r="BN27" s="70"/>
      <c r="BO27" s="71"/>
    </row>
    <row r="28" spans="2:67" s="10" customFormat="1" ht="76.5" customHeight="1" x14ac:dyDescent="0.2">
      <c r="B28" s="29" t="s">
        <v>92</v>
      </c>
      <c r="C28" s="75" t="s">
        <v>31</v>
      </c>
      <c r="D28" s="75"/>
      <c r="E28" s="75"/>
      <c r="F28" s="21">
        <v>4.07</v>
      </c>
      <c r="G28" s="15">
        <v>35</v>
      </c>
      <c r="H28" s="21">
        <f t="shared" si="2"/>
        <v>142.45000000000002</v>
      </c>
      <c r="I28" s="18" t="s">
        <v>16</v>
      </c>
      <c r="J28" s="30" t="s">
        <v>69</v>
      </c>
      <c r="K28" s="30" t="s">
        <v>125</v>
      </c>
      <c r="L28" s="73"/>
      <c r="M28" s="74"/>
      <c r="P28" s="29" t="s">
        <v>92</v>
      </c>
      <c r="Q28" s="75" t="s">
        <v>32</v>
      </c>
      <c r="R28" s="75"/>
      <c r="S28" s="75"/>
      <c r="T28" s="21">
        <v>7.1</v>
      </c>
      <c r="U28" s="15">
        <v>103</v>
      </c>
      <c r="V28" s="21">
        <f t="shared" si="3"/>
        <v>731.3</v>
      </c>
      <c r="W28" s="18" t="s">
        <v>17</v>
      </c>
      <c r="X28" s="60" t="s">
        <v>70</v>
      </c>
      <c r="Y28" s="60" t="s">
        <v>126</v>
      </c>
      <c r="Z28" s="73"/>
      <c r="AA28" s="74"/>
      <c r="AD28" s="6">
        <v>4.3</v>
      </c>
      <c r="AE28" s="69" t="s">
        <v>49</v>
      </c>
      <c r="AF28" s="70"/>
      <c r="AG28" s="70"/>
      <c r="AH28" s="70"/>
      <c r="AI28" s="70"/>
      <c r="AJ28" s="70"/>
      <c r="AK28" s="70"/>
      <c r="AL28" s="70"/>
      <c r="AM28" s="70"/>
      <c r="AN28" s="70"/>
      <c r="AO28" s="71"/>
      <c r="AQ28" s="29"/>
      <c r="AR28" s="83"/>
      <c r="AS28" s="83"/>
      <c r="AT28" s="83"/>
      <c r="AU28" s="150" t="s">
        <v>46</v>
      </c>
      <c r="AV28" s="151"/>
      <c r="AW28" s="152"/>
      <c r="AX28" s="31">
        <f>SUM(AX26:AX27)</f>
        <v>4</v>
      </c>
      <c r="AY28" s="32">
        <f>SUM(AY26:AY27)</f>
        <v>329.87</v>
      </c>
      <c r="AZ28" s="42"/>
      <c r="BA28" s="115"/>
      <c r="BB28" s="116"/>
      <c r="BD28" s="6">
        <v>5.2</v>
      </c>
      <c r="BE28" s="69" t="s">
        <v>51</v>
      </c>
      <c r="BF28" s="70"/>
      <c r="BG28" s="70"/>
      <c r="BH28" s="70"/>
      <c r="BI28" s="70"/>
      <c r="BJ28" s="70"/>
      <c r="BK28" s="70"/>
      <c r="BL28" s="70"/>
      <c r="BM28" s="70"/>
      <c r="BN28" s="70"/>
      <c r="BO28" s="71"/>
    </row>
    <row r="29" spans="2:67" s="10" customFormat="1" ht="76.5" customHeight="1" x14ac:dyDescent="0.2">
      <c r="B29" s="29" t="s">
        <v>93</v>
      </c>
      <c r="C29" s="75" t="s">
        <v>32</v>
      </c>
      <c r="D29" s="75"/>
      <c r="E29" s="75"/>
      <c r="F29" s="21">
        <v>7.1</v>
      </c>
      <c r="G29" s="15">
        <v>16</v>
      </c>
      <c r="H29" s="21">
        <f t="shared" ref="H29" si="6">F29*G29</f>
        <v>113.6</v>
      </c>
      <c r="I29" s="18" t="s">
        <v>17</v>
      </c>
      <c r="J29" s="30" t="s">
        <v>70</v>
      </c>
      <c r="K29" s="30" t="s">
        <v>126</v>
      </c>
      <c r="L29" s="73"/>
      <c r="M29" s="74"/>
      <c r="P29" s="29" t="s">
        <v>93</v>
      </c>
      <c r="Q29" s="75" t="s">
        <v>33</v>
      </c>
      <c r="R29" s="75"/>
      <c r="S29" s="75"/>
      <c r="T29" s="21">
        <v>13.58</v>
      </c>
      <c r="U29" s="15">
        <v>2</v>
      </c>
      <c r="V29" s="21">
        <f t="shared" si="3"/>
        <v>27.16</v>
      </c>
      <c r="W29" s="18" t="s">
        <v>18</v>
      </c>
      <c r="X29" s="60" t="s">
        <v>71</v>
      </c>
      <c r="Y29" s="60" t="s">
        <v>127</v>
      </c>
      <c r="Z29" s="73"/>
      <c r="AA29" s="74"/>
      <c r="AD29" s="6">
        <v>4.4000000000000004</v>
      </c>
      <c r="AE29" s="69" t="s">
        <v>53</v>
      </c>
      <c r="AF29" s="70"/>
      <c r="AG29" s="70"/>
      <c r="AH29" s="70"/>
      <c r="AI29" s="70"/>
      <c r="AJ29" s="70"/>
      <c r="AK29" s="70"/>
      <c r="AL29" s="70"/>
      <c r="AM29" s="70"/>
      <c r="AN29" s="70"/>
      <c r="AO29" s="71"/>
      <c r="AQ29" s="107" t="s">
        <v>22</v>
      </c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9"/>
      <c r="BD29" s="8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9"/>
    </row>
    <row r="30" spans="2:67" s="10" customFormat="1" ht="76.5" customHeight="1" x14ac:dyDescent="0.2">
      <c r="B30" s="29" t="s">
        <v>94</v>
      </c>
      <c r="C30" s="75" t="s">
        <v>33</v>
      </c>
      <c r="D30" s="75"/>
      <c r="E30" s="75"/>
      <c r="F30" s="21">
        <v>13.58</v>
      </c>
      <c r="G30" s="15">
        <v>3</v>
      </c>
      <c r="H30" s="21">
        <f t="shared" si="2"/>
        <v>40.74</v>
      </c>
      <c r="I30" s="18" t="s">
        <v>18</v>
      </c>
      <c r="J30" s="30" t="s">
        <v>71</v>
      </c>
      <c r="K30" s="30" t="s">
        <v>127</v>
      </c>
      <c r="L30" s="73"/>
      <c r="M30" s="74"/>
      <c r="P30" s="29" t="s">
        <v>94</v>
      </c>
      <c r="Q30" s="75" t="s">
        <v>34</v>
      </c>
      <c r="R30" s="75"/>
      <c r="S30" s="75"/>
      <c r="T30" s="21">
        <v>22.5</v>
      </c>
      <c r="U30" s="15">
        <v>10</v>
      </c>
      <c r="V30" s="21">
        <f t="shared" si="3"/>
        <v>225</v>
      </c>
      <c r="W30" s="18" t="s">
        <v>23</v>
      </c>
      <c r="X30" s="60" t="s">
        <v>73</v>
      </c>
      <c r="Y30" s="60" t="s">
        <v>128</v>
      </c>
      <c r="Z30" s="73"/>
      <c r="AA30" s="74"/>
      <c r="AD30" s="107" t="s">
        <v>21</v>
      </c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9"/>
      <c r="AQ30" s="6">
        <v>4.0999999999999996</v>
      </c>
      <c r="AR30" s="69" t="s">
        <v>48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1"/>
      <c r="BD30" s="8"/>
      <c r="BE30" s="72" t="s">
        <v>164</v>
      </c>
      <c r="BF30" s="72"/>
      <c r="BG30" s="72"/>
      <c r="BH30" s="72"/>
      <c r="BI30" s="72"/>
      <c r="BJ30" s="72"/>
      <c r="BK30" s="72"/>
      <c r="BL30" s="72"/>
      <c r="BM30" s="72"/>
      <c r="BN30" s="72"/>
      <c r="BO30" s="9"/>
    </row>
    <row r="31" spans="2:67" ht="76.5" customHeight="1" x14ac:dyDescent="0.2">
      <c r="B31" s="29" t="s">
        <v>95</v>
      </c>
      <c r="C31" s="75" t="s">
        <v>34</v>
      </c>
      <c r="D31" s="75"/>
      <c r="E31" s="75"/>
      <c r="F31" s="21">
        <v>22.5</v>
      </c>
      <c r="G31" s="15">
        <v>5</v>
      </c>
      <c r="H31" s="21">
        <f t="shared" si="2"/>
        <v>112.5</v>
      </c>
      <c r="I31" s="18" t="s">
        <v>23</v>
      </c>
      <c r="J31" s="30" t="s">
        <v>73</v>
      </c>
      <c r="K31" s="30" t="s">
        <v>128</v>
      </c>
      <c r="L31" s="73"/>
      <c r="M31" s="74"/>
      <c r="P31" s="29"/>
      <c r="Q31" s="83"/>
      <c r="R31" s="83"/>
      <c r="S31" s="83"/>
      <c r="T31" s="41" t="s">
        <v>46</v>
      </c>
      <c r="U31" s="31">
        <f>SUM(U19:U30)</f>
        <v>380</v>
      </c>
      <c r="V31" s="32">
        <f>SUM(V19:V30)</f>
        <v>1327.8700000000001</v>
      </c>
      <c r="W31" s="105"/>
      <c r="X31" s="105"/>
      <c r="Y31" s="105"/>
      <c r="Z31" s="105"/>
      <c r="AA31" s="106"/>
      <c r="AD31" s="6">
        <v>5.0999999999999996</v>
      </c>
      <c r="AE31" s="69" t="s">
        <v>50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1"/>
      <c r="AQ31" s="107" t="s">
        <v>21</v>
      </c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9"/>
      <c r="BD31" s="142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9"/>
    </row>
    <row r="32" spans="2:67" ht="76.5" customHeight="1" thickBot="1" x14ac:dyDescent="0.25">
      <c r="B32" s="29" t="s">
        <v>96</v>
      </c>
      <c r="C32" s="75" t="s">
        <v>54</v>
      </c>
      <c r="D32" s="75"/>
      <c r="E32" s="75"/>
      <c r="F32" s="21">
        <v>28.86</v>
      </c>
      <c r="G32" s="15">
        <v>7</v>
      </c>
      <c r="H32" s="21">
        <f t="shared" si="2"/>
        <v>202.01999999999998</v>
      </c>
      <c r="I32" s="18" t="s">
        <v>56</v>
      </c>
      <c r="J32" s="30" t="s">
        <v>72</v>
      </c>
      <c r="K32" s="30" t="s">
        <v>129</v>
      </c>
      <c r="L32" s="73"/>
      <c r="M32" s="74"/>
      <c r="P32" s="107" t="s">
        <v>22</v>
      </c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9"/>
      <c r="AD32" s="6">
        <v>5.2</v>
      </c>
      <c r="AE32" s="69" t="s">
        <v>51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1"/>
      <c r="AQ32" s="6">
        <v>5.0999999999999996</v>
      </c>
      <c r="AR32" s="69" t="s">
        <v>50</v>
      </c>
      <c r="AS32" s="70"/>
      <c r="AT32" s="70"/>
      <c r="AU32" s="70"/>
      <c r="AV32" s="70"/>
      <c r="AW32" s="70"/>
      <c r="AX32" s="70"/>
      <c r="AY32" s="70"/>
      <c r="AZ32" s="70"/>
      <c r="BA32" s="70"/>
      <c r="BB32" s="71"/>
      <c r="BD32" s="138"/>
      <c r="BE32" s="66" t="s">
        <v>52</v>
      </c>
      <c r="BF32" s="67"/>
      <c r="BG32" s="67"/>
      <c r="BH32" s="67"/>
      <c r="BI32" s="67"/>
      <c r="BJ32" s="68"/>
      <c r="BK32" s="43" t="s">
        <v>79</v>
      </c>
      <c r="BL32" s="44" t="s">
        <v>165</v>
      </c>
      <c r="BM32" s="25"/>
      <c r="BN32" s="25"/>
      <c r="BO32" s="140"/>
    </row>
    <row r="33" spans="2:54" ht="22.5" customHeight="1" x14ac:dyDescent="0.2">
      <c r="B33" s="29"/>
      <c r="C33" s="83"/>
      <c r="D33" s="83"/>
      <c r="E33" s="83"/>
      <c r="F33" s="41" t="s">
        <v>46</v>
      </c>
      <c r="G33" s="31">
        <f>SUM(G19:G32)</f>
        <v>456</v>
      </c>
      <c r="H33" s="32">
        <f>SUM(H19:H32)</f>
        <v>823.75</v>
      </c>
      <c r="I33" s="105"/>
      <c r="J33" s="105"/>
      <c r="K33" s="105"/>
      <c r="L33" s="105"/>
      <c r="M33" s="106"/>
      <c r="P33" s="6">
        <v>4.0999999999999996</v>
      </c>
      <c r="Q33" s="69" t="s">
        <v>48</v>
      </c>
      <c r="R33" s="70"/>
      <c r="S33" s="70"/>
      <c r="T33" s="70"/>
      <c r="U33" s="70"/>
      <c r="V33" s="70"/>
      <c r="W33" s="70"/>
      <c r="X33" s="70"/>
      <c r="Y33" s="70"/>
      <c r="Z33" s="70"/>
      <c r="AA33" s="71"/>
      <c r="AD33" s="8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9"/>
      <c r="AQ33" s="6">
        <v>5.2</v>
      </c>
      <c r="AR33" s="69" t="s">
        <v>51</v>
      </c>
      <c r="AS33" s="70"/>
      <c r="AT33" s="70"/>
      <c r="AU33" s="70"/>
      <c r="AV33" s="70"/>
      <c r="AW33" s="70"/>
      <c r="AX33" s="70"/>
      <c r="AY33" s="70"/>
      <c r="AZ33" s="70"/>
      <c r="BA33" s="70"/>
      <c r="BB33" s="71"/>
    </row>
    <row r="34" spans="2:54" s="7" customFormat="1" ht="20.100000000000001" customHeight="1" x14ac:dyDescent="0.2">
      <c r="B34" s="2">
        <v>3.2</v>
      </c>
      <c r="C34" s="81" t="s">
        <v>98</v>
      </c>
      <c r="D34" s="81"/>
      <c r="E34" s="81"/>
      <c r="F34" s="81"/>
      <c r="G34" s="81"/>
      <c r="H34" s="81"/>
      <c r="I34" s="81"/>
      <c r="J34" s="81"/>
      <c r="K34" s="81"/>
      <c r="L34" s="81"/>
      <c r="M34" s="82"/>
      <c r="P34" s="107" t="s">
        <v>21</v>
      </c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9"/>
      <c r="AD34" s="8"/>
      <c r="AE34" s="72" t="s">
        <v>145</v>
      </c>
      <c r="AF34" s="72"/>
      <c r="AG34" s="72"/>
      <c r="AH34" s="72"/>
      <c r="AI34" s="72"/>
      <c r="AJ34" s="72"/>
      <c r="AK34" s="72"/>
      <c r="AL34" s="72"/>
      <c r="AM34" s="72"/>
      <c r="AN34" s="19"/>
      <c r="AO34" s="9"/>
      <c r="AQ34" s="8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9"/>
    </row>
    <row r="35" spans="2:54" ht="55.5" customHeight="1" x14ac:dyDescent="0.2">
      <c r="B35" s="2" t="s">
        <v>40</v>
      </c>
      <c r="C35" s="39" t="s">
        <v>44</v>
      </c>
      <c r="D35" s="33" t="s">
        <v>113</v>
      </c>
      <c r="E35" s="33" t="s">
        <v>105</v>
      </c>
      <c r="F35" s="33" t="s">
        <v>106</v>
      </c>
      <c r="G35" s="33" t="s">
        <v>99</v>
      </c>
      <c r="H35" s="33" t="s">
        <v>107</v>
      </c>
      <c r="I35" s="33" t="s">
        <v>100</v>
      </c>
      <c r="J35" s="39" t="s">
        <v>108</v>
      </c>
      <c r="K35" s="33" t="s">
        <v>57</v>
      </c>
      <c r="L35" s="103" t="s">
        <v>75</v>
      </c>
      <c r="M35" s="104"/>
      <c r="P35" s="6">
        <v>5.0999999999999996</v>
      </c>
      <c r="Q35" s="69" t="s">
        <v>50</v>
      </c>
      <c r="R35" s="70"/>
      <c r="S35" s="70"/>
      <c r="T35" s="70"/>
      <c r="U35" s="70"/>
      <c r="V35" s="70"/>
      <c r="W35" s="70"/>
      <c r="X35" s="70"/>
      <c r="Y35" s="70"/>
      <c r="Z35" s="70"/>
      <c r="AA35" s="71"/>
      <c r="AD35" s="142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9"/>
      <c r="AQ35" s="8"/>
      <c r="AR35" s="20"/>
      <c r="AS35" s="72"/>
      <c r="AT35" s="72"/>
      <c r="AU35" s="72"/>
      <c r="AV35" s="72"/>
      <c r="AW35" s="72"/>
      <c r="AX35" s="72"/>
      <c r="AY35" s="72"/>
      <c r="AZ35" s="65"/>
      <c r="BA35" s="19"/>
      <c r="BB35" s="9"/>
    </row>
    <row r="36" spans="2:54" ht="87" customHeight="1" thickBot="1" x14ac:dyDescent="0.25">
      <c r="B36" s="29" t="s">
        <v>80</v>
      </c>
      <c r="C36" s="18" t="s">
        <v>101</v>
      </c>
      <c r="D36" s="37">
        <v>406.4</v>
      </c>
      <c r="E36" s="18">
        <v>90</v>
      </c>
      <c r="F36" s="37">
        <v>5</v>
      </c>
      <c r="G36" s="18">
        <v>4</v>
      </c>
      <c r="H36" s="34">
        <v>25.81</v>
      </c>
      <c r="I36" s="37">
        <v>9</v>
      </c>
      <c r="J36" s="38">
        <f t="shared" ref="J36:J38" si="7">I36*H36</f>
        <v>232.29</v>
      </c>
      <c r="K36" s="40" t="s">
        <v>102</v>
      </c>
      <c r="L36" s="105" t="s">
        <v>130</v>
      </c>
      <c r="M36" s="106"/>
      <c r="P36" s="6">
        <v>5.2</v>
      </c>
      <c r="Q36" s="69" t="s">
        <v>51</v>
      </c>
      <c r="R36" s="70"/>
      <c r="S36" s="70"/>
      <c r="T36" s="70"/>
      <c r="U36" s="70"/>
      <c r="V36" s="70"/>
      <c r="W36" s="70"/>
      <c r="X36" s="70"/>
      <c r="Y36" s="70"/>
      <c r="Z36" s="70"/>
      <c r="AA36" s="71"/>
      <c r="AD36" s="138"/>
      <c r="AE36" s="66" t="s">
        <v>52</v>
      </c>
      <c r="AF36" s="67"/>
      <c r="AG36" s="67"/>
      <c r="AH36" s="67"/>
      <c r="AI36" s="67"/>
      <c r="AJ36" s="68"/>
      <c r="AK36" s="43" t="s">
        <v>79</v>
      </c>
      <c r="AL36" s="44" t="str">
        <f>AJ8</f>
        <v>02.07.2024</v>
      </c>
      <c r="AM36" s="25"/>
      <c r="AN36" s="25"/>
      <c r="AO36" s="140"/>
      <c r="AQ36" s="142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9"/>
    </row>
    <row r="37" spans="2:54" s="7" customFormat="1" ht="91.5" customHeight="1" thickBot="1" x14ac:dyDescent="0.25">
      <c r="B37" s="29" t="s">
        <v>81</v>
      </c>
      <c r="C37" s="18" t="s">
        <v>103</v>
      </c>
      <c r="D37" s="18">
        <v>711.2</v>
      </c>
      <c r="E37" s="37">
        <v>90</v>
      </c>
      <c r="F37" s="18">
        <v>5</v>
      </c>
      <c r="G37" s="18">
        <v>5</v>
      </c>
      <c r="H37" s="46">
        <v>99.05</v>
      </c>
      <c r="I37" s="37">
        <v>2</v>
      </c>
      <c r="J37" s="38">
        <f t="shared" si="7"/>
        <v>198.1</v>
      </c>
      <c r="K37" s="40" t="s">
        <v>104</v>
      </c>
      <c r="L37" s="105" t="s">
        <v>131</v>
      </c>
      <c r="M37" s="106"/>
      <c r="P37" s="8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9"/>
      <c r="AQ37" s="138"/>
      <c r="AR37" s="66" t="s">
        <v>52</v>
      </c>
      <c r="AS37" s="67"/>
      <c r="AT37" s="67"/>
      <c r="AU37" s="67"/>
      <c r="AV37" s="67"/>
      <c r="AW37" s="68"/>
      <c r="AX37" s="43" t="s">
        <v>79</v>
      </c>
      <c r="AY37" s="44" t="str">
        <f>AW4</f>
        <v>26.09.2024</v>
      </c>
      <c r="AZ37" s="25"/>
      <c r="BA37" s="25"/>
      <c r="BB37" s="140"/>
    </row>
    <row r="38" spans="2:54" s="52" customFormat="1" ht="91.5" customHeight="1" thickBot="1" x14ac:dyDescent="0.25">
      <c r="B38" s="47" t="s">
        <v>82</v>
      </c>
      <c r="C38" s="48" t="s">
        <v>109</v>
      </c>
      <c r="D38" s="48">
        <v>1016</v>
      </c>
      <c r="E38" s="30">
        <v>90</v>
      </c>
      <c r="F38" s="48">
        <v>5</v>
      </c>
      <c r="G38" s="48">
        <v>5</v>
      </c>
      <c r="H38" s="49">
        <v>202.46</v>
      </c>
      <c r="I38" s="30">
        <v>2</v>
      </c>
      <c r="J38" s="50">
        <f t="shared" si="7"/>
        <v>404.92</v>
      </c>
      <c r="K38" s="51" t="s">
        <v>132</v>
      </c>
      <c r="L38" s="113" t="s">
        <v>133</v>
      </c>
      <c r="M38" s="114"/>
      <c r="P38" s="138"/>
      <c r="Q38" s="66" t="s">
        <v>52</v>
      </c>
      <c r="R38" s="67"/>
      <c r="S38" s="67"/>
      <c r="T38" s="67"/>
      <c r="U38" s="67"/>
      <c r="V38" s="68"/>
      <c r="W38" s="43" t="s">
        <v>141</v>
      </c>
      <c r="X38" s="44" t="str">
        <f>V4</f>
        <v>11-06-2024</v>
      </c>
      <c r="Y38" s="25"/>
      <c r="Z38" s="25"/>
      <c r="AA38" s="140"/>
    </row>
    <row r="39" spans="2:54" ht="39" customHeight="1" x14ac:dyDescent="0.2">
      <c r="B39" s="29"/>
      <c r="C39" s="83"/>
      <c r="D39" s="83"/>
      <c r="E39" s="83"/>
      <c r="F39" s="110" t="s">
        <v>46</v>
      </c>
      <c r="G39" s="111"/>
      <c r="H39" s="112"/>
      <c r="I39" s="31">
        <f>SUM(I36:I38)</f>
        <v>13</v>
      </c>
      <c r="J39" s="32">
        <f>SUM(J36:J38)</f>
        <v>835.31</v>
      </c>
      <c r="K39" s="42"/>
      <c r="L39" s="115"/>
      <c r="M39" s="116"/>
    </row>
    <row r="40" spans="2:54" ht="15.75" customHeight="1" x14ac:dyDescent="0.2">
      <c r="B40" s="2">
        <v>3.3</v>
      </c>
      <c r="C40" s="81" t="s">
        <v>110</v>
      </c>
      <c r="D40" s="81"/>
      <c r="E40" s="81"/>
      <c r="F40" s="81"/>
      <c r="G40" s="81"/>
      <c r="H40" s="81"/>
      <c r="I40" s="81"/>
      <c r="J40" s="81"/>
      <c r="K40" s="81"/>
      <c r="L40" s="81"/>
      <c r="M40" s="82"/>
    </row>
    <row r="41" spans="2:54" s="7" customFormat="1" ht="33.75" customHeight="1" x14ac:dyDescent="0.2">
      <c r="B41" s="2" t="s">
        <v>40</v>
      </c>
      <c r="C41" s="39" t="s">
        <v>44</v>
      </c>
      <c r="D41" s="33" t="s">
        <v>113</v>
      </c>
      <c r="E41" s="33" t="s">
        <v>105</v>
      </c>
      <c r="F41" s="33" t="s">
        <v>106</v>
      </c>
      <c r="G41" s="33" t="s">
        <v>99</v>
      </c>
      <c r="H41" s="33" t="s">
        <v>107</v>
      </c>
      <c r="I41" s="33" t="s">
        <v>100</v>
      </c>
      <c r="J41" s="39" t="s">
        <v>108</v>
      </c>
      <c r="K41" s="33" t="s">
        <v>57</v>
      </c>
      <c r="L41" s="103" t="s">
        <v>75</v>
      </c>
      <c r="M41" s="104"/>
    </row>
    <row r="42" spans="2:54" s="52" customFormat="1" ht="87" customHeight="1" x14ac:dyDescent="0.2">
      <c r="B42" s="47" t="s">
        <v>111</v>
      </c>
      <c r="C42" s="48" t="s">
        <v>112</v>
      </c>
      <c r="D42" s="30">
        <v>457.2</v>
      </c>
      <c r="E42" s="48">
        <v>45</v>
      </c>
      <c r="F42" s="30">
        <v>5</v>
      </c>
      <c r="G42" s="48">
        <v>4</v>
      </c>
      <c r="H42" s="49">
        <v>15.86</v>
      </c>
      <c r="I42" s="30">
        <v>6</v>
      </c>
      <c r="J42" s="50">
        <f t="shared" ref="J42" si="8">I42*H42</f>
        <v>95.16</v>
      </c>
      <c r="K42" s="51" t="s">
        <v>135</v>
      </c>
      <c r="L42" s="113" t="s">
        <v>134</v>
      </c>
      <c r="M42" s="114"/>
    </row>
    <row r="43" spans="2:54" ht="39" customHeight="1" x14ac:dyDescent="0.2">
      <c r="B43" s="29"/>
      <c r="C43" s="83"/>
      <c r="D43" s="83"/>
      <c r="E43" s="83"/>
      <c r="F43" s="110" t="s">
        <v>46</v>
      </c>
      <c r="G43" s="111"/>
      <c r="H43" s="112"/>
      <c r="I43" s="31">
        <f>SUM(I42)</f>
        <v>6</v>
      </c>
      <c r="J43" s="32">
        <f>SUM(J42)</f>
        <v>95.16</v>
      </c>
      <c r="K43" s="42"/>
      <c r="L43" s="115"/>
      <c r="M43" s="116"/>
    </row>
    <row r="44" spans="2:54" ht="31.5" customHeight="1" x14ac:dyDescent="0.2">
      <c r="B44" s="107" t="s">
        <v>22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9"/>
    </row>
    <row r="45" spans="2:54" ht="15" x14ac:dyDescent="0.2">
      <c r="B45" s="6">
        <v>4.0999999999999996</v>
      </c>
      <c r="C45" s="69" t="s">
        <v>47</v>
      </c>
      <c r="D45" s="70"/>
      <c r="E45" s="70"/>
      <c r="F45" s="70"/>
      <c r="G45" s="70"/>
      <c r="H45" s="70"/>
      <c r="I45" s="70"/>
      <c r="J45" s="70"/>
      <c r="K45" s="70"/>
      <c r="L45" s="70"/>
      <c r="M45" s="71"/>
    </row>
    <row r="46" spans="2:54" ht="15" x14ac:dyDescent="0.2">
      <c r="B46" s="6">
        <v>4.2</v>
      </c>
      <c r="C46" s="69" t="s">
        <v>48</v>
      </c>
      <c r="D46" s="70"/>
      <c r="E46" s="70"/>
      <c r="F46" s="70"/>
      <c r="G46" s="70"/>
      <c r="H46" s="70"/>
      <c r="I46" s="70"/>
      <c r="J46" s="70"/>
      <c r="K46" s="70"/>
      <c r="L46" s="70"/>
      <c r="M46" s="71"/>
    </row>
    <row r="47" spans="2:54" ht="15" x14ac:dyDescent="0.2">
      <c r="B47" s="6">
        <v>4.3</v>
      </c>
      <c r="C47" s="69" t="s">
        <v>49</v>
      </c>
      <c r="D47" s="70"/>
      <c r="E47" s="70"/>
      <c r="F47" s="70"/>
      <c r="G47" s="70"/>
      <c r="H47" s="70"/>
      <c r="I47" s="70"/>
      <c r="J47" s="70"/>
      <c r="K47" s="70"/>
      <c r="L47" s="70"/>
      <c r="M47" s="71"/>
    </row>
    <row r="48" spans="2:54" ht="15" x14ac:dyDescent="0.2">
      <c r="B48" s="6">
        <v>4.4000000000000004</v>
      </c>
      <c r="C48" s="69" t="s">
        <v>53</v>
      </c>
      <c r="D48" s="70"/>
      <c r="E48" s="70"/>
      <c r="F48" s="70"/>
      <c r="G48" s="70"/>
      <c r="H48" s="70"/>
      <c r="I48" s="70"/>
      <c r="J48" s="70"/>
      <c r="K48" s="70"/>
      <c r="L48" s="70"/>
      <c r="M48" s="71"/>
    </row>
    <row r="49" spans="2:59" ht="31.5" customHeight="1" x14ac:dyDescent="0.2">
      <c r="B49" s="107" t="s">
        <v>21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9"/>
    </row>
    <row r="50" spans="2:59" ht="15" x14ac:dyDescent="0.2">
      <c r="B50" s="6">
        <v>5.0999999999999996</v>
      </c>
      <c r="C50" s="69" t="s">
        <v>50</v>
      </c>
      <c r="D50" s="70"/>
      <c r="E50" s="70"/>
      <c r="F50" s="70"/>
      <c r="G50" s="70"/>
      <c r="H50" s="70"/>
      <c r="I50" s="70"/>
      <c r="J50" s="70"/>
      <c r="K50" s="70"/>
      <c r="L50" s="70"/>
      <c r="M50" s="71"/>
    </row>
    <row r="51" spans="2:59" ht="15" customHeight="1" x14ac:dyDescent="0.2">
      <c r="B51" s="6">
        <v>5.2</v>
      </c>
      <c r="C51" s="69" t="s">
        <v>51</v>
      </c>
      <c r="D51" s="70"/>
      <c r="E51" s="70"/>
      <c r="F51" s="70"/>
      <c r="G51" s="70"/>
      <c r="H51" s="70"/>
      <c r="I51" s="70"/>
      <c r="J51" s="70"/>
      <c r="K51" s="70"/>
      <c r="L51" s="70"/>
      <c r="M51" s="71"/>
    </row>
    <row r="52" spans="2:59" ht="15" x14ac:dyDescent="0.2">
      <c r="B52" s="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9"/>
    </row>
    <row r="53" spans="2:59" ht="15.75" x14ac:dyDescent="0.2">
      <c r="B53" s="8"/>
      <c r="C53" s="20"/>
      <c r="D53" s="72"/>
      <c r="E53" s="72"/>
      <c r="F53" s="72"/>
      <c r="G53" s="72"/>
      <c r="H53" s="72"/>
      <c r="I53" s="72"/>
      <c r="J53" s="72"/>
      <c r="K53" s="36"/>
      <c r="L53" s="19"/>
      <c r="M53" s="9"/>
    </row>
    <row r="54" spans="2:59" ht="15" x14ac:dyDescent="0.2">
      <c r="B54" s="3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9"/>
    </row>
    <row r="55" spans="2:59" ht="25.5" customHeight="1" thickBot="1" x14ac:dyDescent="0.25">
      <c r="B55" s="4"/>
      <c r="C55" s="66" t="s">
        <v>52</v>
      </c>
      <c r="D55" s="67"/>
      <c r="E55" s="67"/>
      <c r="F55" s="67"/>
      <c r="G55" s="67"/>
      <c r="H55" s="68"/>
      <c r="I55" s="43" t="s">
        <v>79</v>
      </c>
      <c r="J55" s="44" t="str">
        <f>H4</f>
        <v>30.04.2024</v>
      </c>
      <c r="K55" s="25"/>
      <c r="L55" s="25"/>
      <c r="M55" s="5"/>
    </row>
    <row r="56" spans="2:59" x14ac:dyDescent="0.2">
      <c r="C56" s="28"/>
      <c r="D56" s="26"/>
      <c r="E56" s="26"/>
      <c r="F56" s="26"/>
      <c r="G56" s="28"/>
      <c r="H56" s="28"/>
      <c r="I56" s="28"/>
      <c r="J56" s="28"/>
      <c r="K56" s="26"/>
      <c r="L56" s="26"/>
      <c r="M56" s="26"/>
      <c r="N56" s="27"/>
    </row>
    <row r="57" spans="2:59" x14ac:dyDescent="0.2">
      <c r="C57" s="27"/>
      <c r="D57" s="27"/>
      <c r="E57" s="27"/>
      <c r="F57" s="27"/>
      <c r="J57" s="27"/>
      <c r="K57" s="27"/>
      <c r="L57" s="27"/>
      <c r="M57" s="27"/>
    </row>
    <row r="59" spans="2:59" ht="13.5" thickBot="1" x14ac:dyDescent="0.25"/>
    <row r="60" spans="2:59" x14ac:dyDescent="0.2">
      <c r="B60" s="158"/>
      <c r="C60" s="159"/>
      <c r="D60" s="159"/>
      <c r="E60" s="160" t="s">
        <v>3</v>
      </c>
      <c r="F60" s="161"/>
      <c r="G60" s="161"/>
      <c r="H60" s="162" t="s">
        <v>166</v>
      </c>
      <c r="I60" s="163"/>
      <c r="J60" s="163"/>
      <c r="K60" s="163"/>
      <c r="L60" s="163"/>
      <c r="M60" s="164"/>
      <c r="O60" s="158"/>
      <c r="P60" s="159"/>
      <c r="Q60" s="159"/>
      <c r="R60" s="160" t="s">
        <v>3</v>
      </c>
      <c r="S60" s="161"/>
      <c r="T60" s="161"/>
      <c r="U60" s="162" t="s">
        <v>166</v>
      </c>
      <c r="V60" s="163"/>
      <c r="W60" s="163"/>
      <c r="X60" s="164"/>
      <c r="Z60" s="158"/>
      <c r="AA60" s="159"/>
      <c r="AB60" s="159"/>
      <c r="AC60" s="160" t="s">
        <v>3</v>
      </c>
      <c r="AD60" s="161"/>
      <c r="AE60" s="161"/>
      <c r="AF60" s="162" t="s">
        <v>166</v>
      </c>
      <c r="AG60" s="163"/>
      <c r="AH60" s="163"/>
      <c r="AI60" s="164"/>
      <c r="AK60" s="117"/>
      <c r="AL60" s="118"/>
      <c r="AM60" s="118"/>
      <c r="AN60" s="119" t="s">
        <v>3</v>
      </c>
      <c r="AO60" s="120"/>
      <c r="AP60" s="120"/>
      <c r="AQ60" s="120"/>
      <c r="AR60" s="89" t="s">
        <v>166</v>
      </c>
      <c r="AS60" s="121"/>
      <c r="AT60" s="121"/>
      <c r="AU60" s="90"/>
      <c r="AW60" s="117"/>
      <c r="AX60" s="118"/>
      <c r="AY60" s="118"/>
      <c r="AZ60" s="119" t="s">
        <v>3</v>
      </c>
      <c r="BA60" s="120"/>
      <c r="BB60" s="120"/>
      <c r="BC60" s="120"/>
      <c r="BD60" s="89" t="s">
        <v>166</v>
      </c>
      <c r="BE60" s="121"/>
      <c r="BF60" s="121"/>
      <c r="BG60" s="90"/>
    </row>
    <row r="61" spans="2:59" x14ac:dyDescent="0.2">
      <c r="B61" s="165"/>
      <c r="C61" s="123"/>
      <c r="D61" s="123"/>
      <c r="E61" s="124"/>
      <c r="F61" s="125"/>
      <c r="G61" s="125"/>
      <c r="H61" s="13" t="s">
        <v>74</v>
      </c>
      <c r="I61" s="13"/>
      <c r="J61" s="13"/>
      <c r="K61" s="13"/>
      <c r="L61" s="13"/>
      <c r="M61" s="13"/>
      <c r="O61" s="165"/>
      <c r="P61" s="123"/>
      <c r="Q61" s="123"/>
      <c r="R61" s="124"/>
      <c r="S61" s="125"/>
      <c r="T61" s="125"/>
      <c r="U61" s="13" t="s">
        <v>74</v>
      </c>
      <c r="V61" s="13"/>
      <c r="W61" s="13"/>
      <c r="X61" s="13"/>
      <c r="Z61" s="165"/>
      <c r="AA61" s="123"/>
      <c r="AB61" s="123"/>
      <c r="AC61" s="124"/>
      <c r="AD61" s="125"/>
      <c r="AE61" s="125"/>
      <c r="AF61" s="13" t="s">
        <v>74</v>
      </c>
      <c r="AG61" s="13"/>
      <c r="AH61" s="13"/>
      <c r="AI61" s="13"/>
      <c r="AK61" s="122"/>
      <c r="AL61" s="123"/>
      <c r="AM61" s="123"/>
      <c r="AN61" s="124"/>
      <c r="AO61" s="125"/>
      <c r="AP61" s="125"/>
      <c r="AQ61" s="125"/>
      <c r="AR61" s="13" t="s">
        <v>74</v>
      </c>
      <c r="AS61" s="211"/>
      <c r="AT61" s="211"/>
      <c r="AU61" s="212"/>
      <c r="AW61" s="122"/>
      <c r="AX61" s="123"/>
      <c r="AY61" s="123"/>
      <c r="AZ61" s="124"/>
      <c r="BA61" s="125"/>
      <c r="BB61" s="125"/>
      <c r="BC61" s="125"/>
      <c r="BD61" s="13" t="s">
        <v>74</v>
      </c>
      <c r="BE61" s="211"/>
      <c r="BF61" s="211"/>
      <c r="BG61" s="212"/>
    </row>
    <row r="62" spans="2:59" ht="25.5" x14ac:dyDescent="0.2">
      <c r="B62" s="166" t="s">
        <v>0</v>
      </c>
      <c r="C62" s="167" t="s">
        <v>136</v>
      </c>
      <c r="D62" s="168"/>
      <c r="E62" s="124"/>
      <c r="F62" s="125"/>
      <c r="G62" s="125"/>
      <c r="H62" s="14" t="s">
        <v>167</v>
      </c>
      <c r="I62" s="14"/>
      <c r="J62" s="14"/>
      <c r="K62" s="14"/>
      <c r="L62" s="14"/>
      <c r="M62" s="169"/>
      <c r="O62" s="166" t="s">
        <v>0</v>
      </c>
      <c r="P62" s="167" t="s">
        <v>241</v>
      </c>
      <c r="Q62" s="168"/>
      <c r="R62" s="124"/>
      <c r="S62" s="125"/>
      <c r="T62" s="125"/>
      <c r="U62" s="14" t="s">
        <v>242</v>
      </c>
      <c r="V62" s="14"/>
      <c r="W62" s="14"/>
      <c r="X62" s="169"/>
      <c r="Z62" s="166" t="s">
        <v>0</v>
      </c>
      <c r="AA62" s="167" t="s">
        <v>241</v>
      </c>
      <c r="AB62" s="168"/>
      <c r="AC62" s="124"/>
      <c r="AD62" s="125"/>
      <c r="AE62" s="125"/>
      <c r="AF62" s="14" t="s">
        <v>242</v>
      </c>
      <c r="AG62" s="14"/>
      <c r="AH62" s="14"/>
      <c r="AI62" s="169"/>
      <c r="AK62" s="53" t="s">
        <v>0</v>
      </c>
      <c r="AL62" s="167" t="s">
        <v>136</v>
      </c>
      <c r="AM62" s="168"/>
      <c r="AN62" s="124"/>
      <c r="AO62" s="125"/>
      <c r="AP62" s="125"/>
      <c r="AQ62" s="125"/>
      <c r="AR62" s="14" t="s">
        <v>273</v>
      </c>
      <c r="AS62" s="213"/>
      <c r="AT62" s="213"/>
      <c r="AU62" s="214"/>
      <c r="AW62" s="53" t="s">
        <v>0</v>
      </c>
      <c r="AX62" s="167" t="s">
        <v>136</v>
      </c>
      <c r="AY62" s="168"/>
      <c r="AZ62" s="124"/>
      <c r="BA62" s="125"/>
      <c r="BB62" s="125"/>
      <c r="BC62" s="125"/>
      <c r="BD62" s="14">
        <v>45454</v>
      </c>
      <c r="BE62" s="213"/>
      <c r="BF62" s="213"/>
      <c r="BG62" s="214"/>
    </row>
    <row r="63" spans="2:59" x14ac:dyDescent="0.2">
      <c r="B63" s="170" t="s">
        <v>1</v>
      </c>
      <c r="C63" s="171" t="s">
        <v>168</v>
      </c>
      <c r="D63" s="171"/>
      <c r="E63" s="124"/>
      <c r="F63" s="125"/>
      <c r="G63" s="125"/>
      <c r="H63" s="172" t="s">
        <v>169</v>
      </c>
      <c r="I63" s="172"/>
      <c r="J63" s="172"/>
      <c r="K63" s="172"/>
      <c r="L63" s="172"/>
      <c r="M63" s="172"/>
      <c r="O63" s="170" t="s">
        <v>1</v>
      </c>
      <c r="P63" s="171">
        <v>27110706</v>
      </c>
      <c r="Q63" s="171"/>
      <c r="R63" s="124"/>
      <c r="S63" s="125"/>
      <c r="T63" s="125"/>
      <c r="U63" s="172" t="s">
        <v>243</v>
      </c>
      <c r="V63" s="172"/>
      <c r="W63" s="172"/>
      <c r="X63" s="172"/>
      <c r="Z63" s="170" t="s">
        <v>1</v>
      </c>
      <c r="AA63" s="171">
        <v>27110706</v>
      </c>
      <c r="AB63" s="171"/>
      <c r="AC63" s="124"/>
      <c r="AD63" s="125"/>
      <c r="AE63" s="125"/>
      <c r="AF63" s="172" t="s">
        <v>169</v>
      </c>
      <c r="AG63" s="172"/>
      <c r="AH63" s="172"/>
      <c r="AI63" s="172"/>
      <c r="AK63" s="54" t="s">
        <v>1</v>
      </c>
      <c r="AL63" s="171" t="s">
        <v>168</v>
      </c>
      <c r="AM63" s="171"/>
      <c r="AN63" s="124"/>
      <c r="AO63" s="125"/>
      <c r="AP63" s="125"/>
      <c r="AQ63" s="125"/>
      <c r="AR63" s="215" t="s">
        <v>274</v>
      </c>
      <c r="AS63" s="216"/>
      <c r="AT63" s="216"/>
      <c r="AU63" s="217"/>
      <c r="AW63" s="54" t="s">
        <v>1</v>
      </c>
      <c r="AX63" s="171" t="s">
        <v>168</v>
      </c>
      <c r="AY63" s="171"/>
      <c r="AZ63" s="124"/>
      <c r="BA63" s="125"/>
      <c r="BB63" s="125"/>
      <c r="BC63" s="125"/>
      <c r="BD63" s="215" t="s">
        <v>390</v>
      </c>
      <c r="BE63" s="216"/>
      <c r="BF63" s="216"/>
      <c r="BG63" s="217"/>
    </row>
    <row r="64" spans="2:59" x14ac:dyDescent="0.2">
      <c r="B64" s="170" t="s">
        <v>2</v>
      </c>
      <c r="C64" s="173" t="s">
        <v>170</v>
      </c>
      <c r="D64" s="174"/>
      <c r="E64" s="126"/>
      <c r="F64" s="127"/>
      <c r="G64" s="127"/>
      <c r="H64" s="172"/>
      <c r="I64" s="172"/>
      <c r="J64" s="172"/>
      <c r="K64" s="172"/>
      <c r="L64" s="172"/>
      <c r="M64" s="172"/>
      <c r="O64" s="170" t="s">
        <v>2</v>
      </c>
      <c r="P64" s="173" t="s">
        <v>244</v>
      </c>
      <c r="Q64" s="174"/>
      <c r="R64" s="126"/>
      <c r="S64" s="127"/>
      <c r="T64" s="127"/>
      <c r="U64" s="172"/>
      <c r="V64" s="172"/>
      <c r="W64" s="172"/>
      <c r="X64" s="172"/>
      <c r="Z64" s="170" t="s">
        <v>2</v>
      </c>
      <c r="AA64" s="173" t="s">
        <v>269</v>
      </c>
      <c r="AB64" s="174"/>
      <c r="AC64" s="126"/>
      <c r="AD64" s="127"/>
      <c r="AE64" s="127"/>
      <c r="AF64" s="172"/>
      <c r="AG64" s="172"/>
      <c r="AH64" s="172"/>
      <c r="AI64" s="172"/>
      <c r="AK64" s="54" t="s">
        <v>2</v>
      </c>
      <c r="AL64" s="173" t="s">
        <v>275</v>
      </c>
      <c r="AM64" s="174"/>
      <c r="AN64" s="126"/>
      <c r="AO64" s="127"/>
      <c r="AP64" s="127"/>
      <c r="AQ64" s="127"/>
      <c r="AR64" s="218"/>
      <c r="AS64" s="219"/>
      <c r="AT64" s="219"/>
      <c r="AU64" s="220"/>
      <c r="AW64" s="54" t="s">
        <v>2</v>
      </c>
      <c r="AX64" s="173" t="s">
        <v>391</v>
      </c>
      <c r="AY64" s="174"/>
      <c r="AZ64" s="126"/>
      <c r="BA64" s="127"/>
      <c r="BB64" s="127"/>
      <c r="BC64" s="127"/>
      <c r="BD64" s="218"/>
      <c r="BE64" s="219"/>
      <c r="BF64" s="219"/>
      <c r="BG64" s="220"/>
    </row>
    <row r="65" spans="2:59" ht="15.75" x14ac:dyDescent="0.2">
      <c r="B65" s="175" t="s">
        <v>7</v>
      </c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76"/>
      <c r="O65" s="175" t="s">
        <v>7</v>
      </c>
      <c r="P65" s="129"/>
      <c r="Q65" s="129"/>
      <c r="R65" s="129"/>
      <c r="S65" s="129"/>
      <c r="T65" s="129"/>
      <c r="U65" s="129"/>
      <c r="V65" s="129"/>
      <c r="W65" s="129"/>
      <c r="X65" s="176"/>
      <c r="Z65" s="175" t="s">
        <v>7</v>
      </c>
      <c r="AA65" s="129"/>
      <c r="AB65" s="129"/>
      <c r="AC65" s="129"/>
      <c r="AD65" s="129"/>
      <c r="AE65" s="129"/>
      <c r="AF65" s="129"/>
      <c r="AG65" s="129"/>
      <c r="AH65" s="129"/>
      <c r="AI65" s="176"/>
      <c r="AK65" s="128" t="s">
        <v>7</v>
      </c>
      <c r="AL65" s="129"/>
      <c r="AM65" s="129"/>
      <c r="AN65" s="129"/>
      <c r="AO65" s="129"/>
      <c r="AP65" s="129"/>
      <c r="AQ65" s="129"/>
      <c r="AR65" s="129"/>
      <c r="AS65" s="129"/>
      <c r="AT65" s="129"/>
      <c r="AU65" s="221"/>
      <c r="AW65" s="128" t="s">
        <v>7</v>
      </c>
      <c r="AX65" s="129"/>
      <c r="AY65" s="129"/>
      <c r="AZ65" s="129"/>
      <c r="BA65" s="129"/>
      <c r="BB65" s="129"/>
      <c r="BC65" s="129"/>
      <c r="BD65" s="129"/>
      <c r="BE65" s="129"/>
      <c r="BF65" s="129"/>
      <c r="BG65" s="221"/>
    </row>
    <row r="66" spans="2:59" ht="15.75" x14ac:dyDescent="0.2">
      <c r="B66" s="98" t="s">
        <v>171</v>
      </c>
      <c r="C66" s="98"/>
      <c r="D66" s="98"/>
      <c r="E66" s="99"/>
      <c r="F66" s="99"/>
      <c r="G66" s="99"/>
      <c r="H66" s="99"/>
      <c r="I66" s="99"/>
      <c r="J66" s="99"/>
      <c r="K66" s="99"/>
      <c r="L66" s="99"/>
      <c r="M66" s="99"/>
      <c r="O66" s="98" t="s">
        <v>5</v>
      </c>
      <c r="P66" s="98"/>
      <c r="Q66" s="98"/>
      <c r="R66" s="99"/>
      <c r="S66" s="99"/>
      <c r="T66" s="99"/>
      <c r="U66" s="99"/>
      <c r="V66" s="99"/>
      <c r="W66" s="99"/>
      <c r="X66" s="99"/>
      <c r="Z66" s="98" t="s">
        <v>171</v>
      </c>
      <c r="AA66" s="98"/>
      <c r="AB66" s="98"/>
      <c r="AC66" s="99"/>
      <c r="AD66" s="99"/>
      <c r="AE66" s="99"/>
      <c r="AF66" s="99"/>
      <c r="AG66" s="99"/>
      <c r="AH66" s="99"/>
      <c r="AI66" s="99"/>
      <c r="AK66" s="222" t="s">
        <v>5</v>
      </c>
      <c r="AL66" s="182"/>
      <c r="AM66" s="182"/>
      <c r="AN66" s="99"/>
      <c r="AO66" s="99"/>
      <c r="AP66" s="99"/>
      <c r="AQ66" s="99"/>
      <c r="AR66" s="99"/>
      <c r="AS66" s="131"/>
      <c r="AT66" s="131"/>
      <c r="AU66" s="100"/>
      <c r="AW66" s="222" t="s">
        <v>5</v>
      </c>
      <c r="AX66" s="182"/>
      <c r="AY66" s="182"/>
      <c r="AZ66" s="99"/>
      <c r="BA66" s="99"/>
      <c r="BB66" s="99"/>
      <c r="BC66" s="99"/>
      <c r="BD66" s="99"/>
      <c r="BE66" s="131"/>
      <c r="BF66" s="131"/>
      <c r="BG66" s="100"/>
    </row>
    <row r="67" spans="2:59" ht="15" x14ac:dyDescent="0.2">
      <c r="B67" s="63">
        <v>1.1000000000000001</v>
      </c>
      <c r="C67" s="131" t="s">
        <v>172</v>
      </c>
      <c r="D67" s="177"/>
      <c r="E67" s="177"/>
      <c r="F67" s="177"/>
      <c r="G67" s="177"/>
      <c r="H67" s="177"/>
      <c r="I67" s="177"/>
      <c r="J67" s="177"/>
      <c r="K67" s="177"/>
      <c r="L67" s="177"/>
      <c r="M67" s="178"/>
      <c r="O67" s="63">
        <v>1.1000000000000001</v>
      </c>
      <c r="P67" s="131" t="s">
        <v>172</v>
      </c>
      <c r="Q67" s="177"/>
      <c r="R67" s="177"/>
      <c r="S67" s="177"/>
      <c r="T67" s="177"/>
      <c r="U67" s="177"/>
      <c r="V67" s="177"/>
      <c r="W67" s="177"/>
      <c r="X67" s="178"/>
      <c r="Z67" s="63">
        <v>1.1000000000000001</v>
      </c>
      <c r="AA67" s="131" t="s">
        <v>172</v>
      </c>
      <c r="AB67" s="177"/>
      <c r="AC67" s="177"/>
      <c r="AD67" s="177"/>
      <c r="AE67" s="177"/>
      <c r="AF67" s="177"/>
      <c r="AG67" s="177"/>
      <c r="AH67" s="177"/>
      <c r="AI67" s="178"/>
      <c r="AK67" s="29">
        <v>1.1000000000000001</v>
      </c>
      <c r="AL67" s="131" t="s">
        <v>172</v>
      </c>
      <c r="AM67" s="177"/>
      <c r="AN67" s="177"/>
      <c r="AO67" s="177"/>
      <c r="AP67" s="177"/>
      <c r="AQ67" s="177"/>
      <c r="AR67" s="177"/>
      <c r="AS67" s="177"/>
      <c r="AT67" s="177"/>
      <c r="AU67" s="223"/>
      <c r="AW67" s="29">
        <v>1.1000000000000001</v>
      </c>
      <c r="AX67" s="131" t="s">
        <v>172</v>
      </c>
      <c r="AY67" s="177"/>
      <c r="AZ67" s="177"/>
      <c r="BA67" s="177"/>
      <c r="BB67" s="177"/>
      <c r="BC67" s="177"/>
      <c r="BD67" s="177"/>
      <c r="BE67" s="177"/>
      <c r="BF67" s="177"/>
      <c r="BG67" s="223"/>
    </row>
    <row r="68" spans="2:59" ht="15.75" x14ac:dyDescent="0.2">
      <c r="B68" s="179" t="s">
        <v>173</v>
      </c>
      <c r="C68" s="179"/>
      <c r="D68" s="179"/>
      <c r="E68" s="180"/>
      <c r="F68" s="180"/>
      <c r="G68" s="180"/>
      <c r="H68" s="180"/>
      <c r="I68" s="180"/>
      <c r="J68" s="180"/>
      <c r="K68" s="180"/>
      <c r="L68" s="180"/>
      <c r="M68" s="181"/>
      <c r="O68" s="179" t="s">
        <v>245</v>
      </c>
      <c r="P68" s="179"/>
      <c r="Q68" s="179"/>
      <c r="R68" s="180"/>
      <c r="S68" s="180"/>
      <c r="T68" s="180"/>
      <c r="U68" s="180"/>
      <c r="V68" s="180"/>
      <c r="W68" s="180"/>
      <c r="X68" s="181"/>
      <c r="Z68" s="179" t="s">
        <v>173</v>
      </c>
      <c r="AA68" s="179"/>
      <c r="AB68" s="179"/>
      <c r="AC68" s="180"/>
      <c r="AD68" s="180"/>
      <c r="AE68" s="180"/>
      <c r="AF68" s="180"/>
      <c r="AG68" s="180"/>
      <c r="AH68" s="180"/>
      <c r="AI68" s="181"/>
      <c r="AK68" s="224" t="s">
        <v>245</v>
      </c>
      <c r="AL68" s="225"/>
      <c r="AM68" s="225"/>
      <c r="AN68" s="180"/>
      <c r="AO68" s="180"/>
      <c r="AP68" s="180"/>
      <c r="AQ68" s="180"/>
      <c r="AR68" s="180"/>
      <c r="AS68" s="180"/>
      <c r="AT68" s="180"/>
      <c r="AU68" s="226"/>
      <c r="AW68" s="224" t="s">
        <v>245</v>
      </c>
      <c r="AX68" s="225"/>
      <c r="AY68" s="225"/>
      <c r="AZ68" s="180"/>
      <c r="BA68" s="180"/>
      <c r="BB68" s="180"/>
      <c r="BC68" s="180"/>
      <c r="BD68" s="180"/>
      <c r="BE68" s="180"/>
      <c r="BF68" s="180"/>
      <c r="BG68" s="226"/>
    </row>
    <row r="69" spans="2:59" ht="15.75" x14ac:dyDescent="0.2">
      <c r="B69" s="182" t="s">
        <v>174</v>
      </c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O69" s="182" t="s">
        <v>174</v>
      </c>
      <c r="P69" s="182"/>
      <c r="Q69" s="182"/>
      <c r="R69" s="182"/>
      <c r="S69" s="182"/>
      <c r="T69" s="182"/>
      <c r="U69" s="182"/>
      <c r="V69" s="182"/>
      <c r="W69" s="182"/>
      <c r="X69" s="182"/>
      <c r="Z69" s="182" t="s">
        <v>174</v>
      </c>
      <c r="AA69" s="182"/>
      <c r="AB69" s="182"/>
      <c r="AC69" s="182"/>
      <c r="AD69" s="182"/>
      <c r="AE69" s="182"/>
      <c r="AF69" s="182"/>
      <c r="AG69" s="182"/>
      <c r="AH69" s="182"/>
      <c r="AI69" s="182"/>
      <c r="AK69" s="222" t="s">
        <v>276</v>
      </c>
      <c r="AL69" s="182"/>
      <c r="AM69" s="182"/>
      <c r="AN69" s="182"/>
      <c r="AO69" s="182"/>
      <c r="AP69" s="182"/>
      <c r="AQ69" s="182"/>
      <c r="AR69" s="182"/>
      <c r="AS69" s="227"/>
      <c r="AT69" s="227"/>
      <c r="AU69" s="228"/>
      <c r="AW69" s="222" t="s">
        <v>276</v>
      </c>
      <c r="AX69" s="182"/>
      <c r="AY69" s="182"/>
      <c r="AZ69" s="182"/>
      <c r="BA69" s="182"/>
      <c r="BB69" s="182"/>
      <c r="BC69" s="182"/>
      <c r="BD69" s="182"/>
      <c r="BE69" s="227"/>
      <c r="BF69" s="227"/>
      <c r="BG69" s="228"/>
    </row>
    <row r="70" spans="2:59" ht="15.75" x14ac:dyDescent="0.2">
      <c r="B70" s="61" t="s">
        <v>175</v>
      </c>
      <c r="C70" s="131" t="s">
        <v>176</v>
      </c>
      <c r="D70" s="177"/>
      <c r="E70" s="177"/>
      <c r="F70" s="177"/>
      <c r="G70" s="177"/>
      <c r="H70" s="177"/>
      <c r="I70" s="177"/>
      <c r="J70" s="177"/>
      <c r="K70" s="177"/>
      <c r="L70" s="177"/>
      <c r="M70" s="178"/>
      <c r="O70" s="61" t="s">
        <v>175</v>
      </c>
      <c r="P70" s="131" t="s">
        <v>246</v>
      </c>
      <c r="Q70" s="177"/>
      <c r="R70" s="177"/>
      <c r="S70" s="177"/>
      <c r="T70" s="177"/>
      <c r="U70" s="177"/>
      <c r="V70" s="177"/>
      <c r="W70" s="177"/>
      <c r="X70" s="178"/>
      <c r="Z70" s="61" t="s">
        <v>175</v>
      </c>
      <c r="AA70" s="131" t="s">
        <v>270</v>
      </c>
      <c r="AB70" s="177"/>
      <c r="AC70" s="177"/>
      <c r="AD70" s="177"/>
      <c r="AE70" s="177"/>
      <c r="AF70" s="177"/>
      <c r="AG70" s="177"/>
      <c r="AH70" s="177"/>
      <c r="AI70" s="178"/>
      <c r="AK70" s="229" t="s">
        <v>175</v>
      </c>
      <c r="AL70" s="205" t="s">
        <v>277</v>
      </c>
      <c r="AM70" s="206"/>
      <c r="AN70" s="206"/>
      <c r="AO70" s="206"/>
      <c r="AP70" s="206"/>
      <c r="AQ70" s="206"/>
      <c r="AR70" s="206"/>
      <c r="AS70" s="206"/>
      <c r="AT70" s="206"/>
      <c r="AU70" s="230"/>
      <c r="AW70" s="229" t="s">
        <v>175</v>
      </c>
      <c r="AX70" s="205" t="s">
        <v>277</v>
      </c>
      <c r="AY70" s="206"/>
      <c r="AZ70" s="206"/>
      <c r="BA70" s="206"/>
      <c r="BB70" s="206"/>
      <c r="BC70" s="206"/>
      <c r="BD70" s="206"/>
      <c r="BE70" s="206"/>
      <c r="BF70" s="206"/>
      <c r="BG70" s="230"/>
    </row>
    <row r="71" spans="2:59" ht="15" x14ac:dyDescent="0.2">
      <c r="B71" s="61" t="s">
        <v>177</v>
      </c>
      <c r="C71" s="131" t="s">
        <v>178</v>
      </c>
      <c r="D71" s="177"/>
      <c r="E71" s="177"/>
      <c r="F71" s="177"/>
      <c r="G71" s="177"/>
      <c r="H71" s="177"/>
      <c r="I71" s="177"/>
      <c r="J71" s="177"/>
      <c r="K71" s="177"/>
      <c r="L71" s="177"/>
      <c r="M71" s="178"/>
      <c r="O71" s="61" t="s">
        <v>177</v>
      </c>
      <c r="P71" s="131" t="s">
        <v>178</v>
      </c>
      <c r="Q71" s="177"/>
      <c r="R71" s="177"/>
      <c r="S71" s="177"/>
      <c r="T71" s="177"/>
      <c r="U71" s="177"/>
      <c r="V71" s="177"/>
      <c r="W71" s="177"/>
      <c r="X71" s="178"/>
      <c r="Z71" s="61" t="s">
        <v>177</v>
      </c>
      <c r="AA71" s="131" t="s">
        <v>178</v>
      </c>
      <c r="AB71" s="177"/>
      <c r="AC71" s="177"/>
      <c r="AD71" s="177"/>
      <c r="AE71" s="177"/>
      <c r="AF71" s="177"/>
      <c r="AG71" s="177"/>
      <c r="AH71" s="177"/>
      <c r="AI71" s="178"/>
      <c r="AK71" s="229" t="s">
        <v>177</v>
      </c>
      <c r="AL71" s="205" t="s">
        <v>178</v>
      </c>
      <c r="AM71" s="206"/>
      <c r="AN71" s="206"/>
      <c r="AO71" s="206"/>
      <c r="AP71" s="206"/>
      <c r="AQ71" s="206"/>
      <c r="AR71" s="206"/>
      <c r="AS71" s="206"/>
      <c r="AT71" s="206"/>
      <c r="AU71" s="230"/>
      <c r="AW71" s="229" t="s">
        <v>177</v>
      </c>
      <c r="AX71" s="205" t="s">
        <v>178</v>
      </c>
      <c r="AY71" s="206"/>
      <c r="AZ71" s="206"/>
      <c r="BA71" s="206"/>
      <c r="BB71" s="206"/>
      <c r="BC71" s="206"/>
      <c r="BD71" s="206"/>
      <c r="BE71" s="206"/>
      <c r="BF71" s="206"/>
      <c r="BG71" s="230"/>
    </row>
    <row r="72" spans="2:59" ht="15" x14ac:dyDescent="0.2">
      <c r="B72" s="61" t="s">
        <v>179</v>
      </c>
      <c r="C72" s="131" t="s">
        <v>180</v>
      </c>
      <c r="D72" s="177"/>
      <c r="E72" s="177"/>
      <c r="F72" s="177"/>
      <c r="G72" s="177"/>
      <c r="H72" s="177"/>
      <c r="I72" s="177"/>
      <c r="J72" s="177"/>
      <c r="K72" s="177"/>
      <c r="L72" s="177"/>
      <c r="M72" s="178"/>
      <c r="O72" s="61" t="s">
        <v>179</v>
      </c>
      <c r="P72" s="205" t="s">
        <v>180</v>
      </c>
      <c r="Q72" s="206"/>
      <c r="R72" s="206"/>
      <c r="S72" s="206"/>
      <c r="T72" s="206"/>
      <c r="U72" s="206"/>
      <c r="V72" s="206"/>
      <c r="W72" s="206"/>
      <c r="X72" s="207"/>
      <c r="Z72" s="61" t="s">
        <v>179</v>
      </c>
      <c r="AA72" s="131" t="s">
        <v>180</v>
      </c>
      <c r="AB72" s="177"/>
      <c r="AC72" s="177"/>
      <c r="AD72" s="177"/>
      <c r="AE72" s="177"/>
      <c r="AF72" s="177"/>
      <c r="AG72" s="177"/>
      <c r="AH72" s="177"/>
      <c r="AI72" s="178"/>
      <c r="AK72" s="229" t="s">
        <v>179</v>
      </c>
      <c r="AL72" s="205" t="s">
        <v>278</v>
      </c>
      <c r="AM72" s="206"/>
      <c r="AN72" s="206"/>
      <c r="AO72" s="206"/>
      <c r="AP72" s="206"/>
      <c r="AQ72" s="206"/>
      <c r="AR72" s="206"/>
      <c r="AS72" s="206"/>
      <c r="AT72" s="206"/>
      <c r="AU72" s="230"/>
      <c r="AW72" s="229" t="s">
        <v>179</v>
      </c>
      <c r="AX72" s="205" t="s">
        <v>278</v>
      </c>
      <c r="AY72" s="206"/>
      <c r="AZ72" s="206"/>
      <c r="BA72" s="206"/>
      <c r="BB72" s="206"/>
      <c r="BC72" s="206"/>
      <c r="BD72" s="206"/>
      <c r="BE72" s="206"/>
      <c r="BF72" s="206"/>
      <c r="BG72" s="230"/>
    </row>
    <row r="73" spans="2:59" ht="15" x14ac:dyDescent="0.2">
      <c r="B73" s="61"/>
      <c r="C73" s="131"/>
      <c r="D73" s="177"/>
      <c r="E73" s="177"/>
      <c r="F73" s="177"/>
      <c r="G73" s="177"/>
      <c r="H73" s="177"/>
      <c r="I73" s="177"/>
      <c r="J73" s="177"/>
      <c r="K73" s="177"/>
      <c r="L73" s="177"/>
      <c r="M73" s="178"/>
      <c r="O73" s="61"/>
      <c r="P73" s="131"/>
      <c r="Q73" s="177"/>
      <c r="R73" s="177"/>
      <c r="S73" s="177"/>
      <c r="T73" s="177"/>
      <c r="U73" s="177"/>
      <c r="V73" s="177"/>
      <c r="W73" s="177"/>
      <c r="X73" s="178"/>
      <c r="Z73" s="61"/>
      <c r="AA73" s="131"/>
      <c r="AB73" s="177"/>
      <c r="AC73" s="177"/>
      <c r="AD73" s="177"/>
      <c r="AE73" s="177"/>
      <c r="AF73" s="177"/>
      <c r="AG73" s="177"/>
      <c r="AH73" s="177"/>
      <c r="AI73" s="178"/>
      <c r="AK73" s="229" t="s">
        <v>279</v>
      </c>
      <c r="AL73" s="231" t="s">
        <v>280</v>
      </c>
      <c r="AM73" s="232"/>
      <c r="AN73" s="232"/>
      <c r="AO73" s="232"/>
      <c r="AP73" s="232"/>
      <c r="AQ73" s="232"/>
      <c r="AR73" s="232"/>
      <c r="AS73" s="232"/>
      <c r="AT73" s="232"/>
      <c r="AU73" s="233"/>
      <c r="AW73" s="229" t="s">
        <v>279</v>
      </c>
      <c r="AX73" s="231" t="s">
        <v>280</v>
      </c>
      <c r="AY73" s="232"/>
      <c r="AZ73" s="232"/>
      <c r="BA73" s="232"/>
      <c r="BB73" s="232"/>
      <c r="BC73" s="232"/>
      <c r="BD73" s="232"/>
      <c r="BE73" s="232"/>
      <c r="BF73" s="232"/>
      <c r="BG73" s="233"/>
    </row>
    <row r="74" spans="2:59" ht="63" x14ac:dyDescent="0.2">
      <c r="B74" s="64" t="s">
        <v>40</v>
      </c>
      <c r="C74" s="83" t="s">
        <v>181</v>
      </c>
      <c r="D74" s="83"/>
      <c r="E74" s="83"/>
      <c r="F74" s="58" t="s">
        <v>182</v>
      </c>
      <c r="G74" s="58" t="s">
        <v>183</v>
      </c>
      <c r="H74" s="39" t="s">
        <v>44</v>
      </c>
      <c r="I74" s="58" t="s">
        <v>184</v>
      </c>
      <c r="J74" s="59" t="s">
        <v>57</v>
      </c>
      <c r="K74" s="59" t="s">
        <v>75</v>
      </c>
      <c r="L74" s="183" t="s">
        <v>45</v>
      </c>
      <c r="M74" s="184"/>
      <c r="O74" s="64" t="s">
        <v>40</v>
      </c>
      <c r="P74" s="83" t="s">
        <v>181</v>
      </c>
      <c r="Q74" s="83"/>
      <c r="R74" s="83"/>
      <c r="S74" s="58" t="s">
        <v>182</v>
      </c>
      <c r="T74" s="58" t="s">
        <v>183</v>
      </c>
      <c r="U74" s="39" t="s">
        <v>44</v>
      </c>
      <c r="V74" s="58" t="s">
        <v>184</v>
      </c>
      <c r="W74" s="183" t="s">
        <v>45</v>
      </c>
      <c r="X74" s="184"/>
      <c r="Z74" s="64" t="s">
        <v>40</v>
      </c>
      <c r="AA74" s="83" t="s">
        <v>181</v>
      </c>
      <c r="AB74" s="83"/>
      <c r="AC74" s="83"/>
      <c r="AD74" s="58" t="s">
        <v>182</v>
      </c>
      <c r="AE74" s="58" t="s">
        <v>183</v>
      </c>
      <c r="AF74" s="39" t="s">
        <v>44</v>
      </c>
      <c r="AG74" s="58" t="s">
        <v>184</v>
      </c>
      <c r="AH74" s="183" t="s">
        <v>45</v>
      </c>
      <c r="AI74" s="184"/>
      <c r="AK74" s="2" t="s">
        <v>40</v>
      </c>
      <c r="AL74" s="110" t="s">
        <v>181</v>
      </c>
      <c r="AM74" s="111"/>
      <c r="AN74" s="111"/>
      <c r="AO74" s="58" t="s">
        <v>281</v>
      </c>
      <c r="AP74" s="58" t="s">
        <v>282</v>
      </c>
      <c r="AQ74" s="58" t="s">
        <v>283</v>
      </c>
      <c r="AR74" s="58" t="s">
        <v>44</v>
      </c>
      <c r="AS74" s="59" t="s">
        <v>57</v>
      </c>
      <c r="AT74" s="59" t="s">
        <v>75</v>
      </c>
      <c r="AU74" s="234" t="s">
        <v>45</v>
      </c>
      <c r="AW74" s="2" t="s">
        <v>40</v>
      </c>
      <c r="AX74" s="110" t="s">
        <v>181</v>
      </c>
      <c r="AY74" s="111"/>
      <c r="AZ74" s="111"/>
      <c r="BA74" s="58" t="s">
        <v>281</v>
      </c>
      <c r="BB74" s="58" t="s">
        <v>282</v>
      </c>
      <c r="BC74" s="58" t="s">
        <v>283</v>
      </c>
      <c r="BD74" s="58" t="s">
        <v>44</v>
      </c>
      <c r="BE74" s="59" t="s">
        <v>57</v>
      </c>
      <c r="BF74" s="59" t="s">
        <v>75</v>
      </c>
      <c r="BG74" s="234" t="s">
        <v>45</v>
      </c>
    </row>
    <row r="75" spans="2:59" ht="375" x14ac:dyDescent="0.2">
      <c r="B75" s="63" t="s">
        <v>185</v>
      </c>
      <c r="C75" s="185" t="s">
        <v>186</v>
      </c>
      <c r="D75" s="185"/>
      <c r="E75" s="186"/>
      <c r="F75" s="38">
        <v>9.83</v>
      </c>
      <c r="G75" s="57">
        <v>15</v>
      </c>
      <c r="H75" s="42" t="s">
        <v>187</v>
      </c>
      <c r="I75" s="38">
        <f t="shared" ref="I75:I85" si="9">+F75*G75</f>
        <v>147.44999999999999</v>
      </c>
      <c r="J75" s="187" t="s">
        <v>188</v>
      </c>
      <c r="K75" s="187" t="s">
        <v>189</v>
      </c>
      <c r="L75" s="132"/>
      <c r="M75" s="184"/>
      <c r="O75" s="63" t="s">
        <v>185</v>
      </c>
      <c r="P75" s="185" t="s">
        <v>247</v>
      </c>
      <c r="Q75" s="185"/>
      <c r="R75" s="186"/>
      <c r="S75" s="57">
        <v>0.47</v>
      </c>
      <c r="T75" s="57">
        <v>42</v>
      </c>
      <c r="U75" s="57" t="s">
        <v>248</v>
      </c>
      <c r="V75" s="40">
        <f>+S75*T75</f>
        <v>19.739999999999998</v>
      </c>
      <c r="W75" s="132"/>
      <c r="X75" s="184"/>
      <c r="Z75" s="63" t="s">
        <v>185</v>
      </c>
      <c r="AA75" s="185" t="s">
        <v>186</v>
      </c>
      <c r="AB75" s="185"/>
      <c r="AC75" s="186"/>
      <c r="AD75" s="38">
        <f>9.83+72</f>
        <v>81.83</v>
      </c>
      <c r="AE75" s="57">
        <v>15</v>
      </c>
      <c r="AF75" s="42" t="s">
        <v>187</v>
      </c>
      <c r="AG75" s="40">
        <f t="shared" ref="AG75:AG85" si="10">+AD75*AE75</f>
        <v>1227.45</v>
      </c>
      <c r="AH75" s="132"/>
      <c r="AI75" s="184"/>
      <c r="AK75" s="29" t="s">
        <v>185</v>
      </c>
      <c r="AL75" s="115" t="s">
        <v>284</v>
      </c>
      <c r="AM75" s="235" t="s">
        <v>285</v>
      </c>
      <c r="AN75" s="236"/>
      <c r="AO75" s="57">
        <v>1.28</v>
      </c>
      <c r="AP75" s="57">
        <v>109</v>
      </c>
      <c r="AQ75" s="57">
        <f t="shared" ref="AQ75:AQ87" si="11">AP75*AO75</f>
        <v>139.52000000000001</v>
      </c>
      <c r="AR75" s="57" t="s">
        <v>286</v>
      </c>
      <c r="AS75" s="61" t="s">
        <v>287</v>
      </c>
      <c r="AT75" s="61" t="s">
        <v>288</v>
      </c>
      <c r="AU75" s="234"/>
      <c r="AW75" s="29" t="s">
        <v>185</v>
      </c>
      <c r="AX75" s="115" t="s">
        <v>392</v>
      </c>
      <c r="AY75" s="235" t="s">
        <v>285</v>
      </c>
      <c r="AZ75" s="236"/>
      <c r="BA75" s="57">
        <v>0.75</v>
      </c>
      <c r="BB75" s="57">
        <v>27</v>
      </c>
      <c r="BC75" s="57">
        <f t="shared" ref="BC75:BC85" si="12">BB75*BA75</f>
        <v>20.25</v>
      </c>
      <c r="BD75" s="60" t="s">
        <v>393</v>
      </c>
      <c r="BE75" s="264" t="s">
        <v>394</v>
      </c>
      <c r="BF75" s="264" t="s">
        <v>395</v>
      </c>
      <c r="BG75" s="234"/>
    </row>
    <row r="76" spans="2:59" ht="375" x14ac:dyDescent="0.2">
      <c r="B76" s="63" t="s">
        <v>190</v>
      </c>
      <c r="C76" s="185" t="s">
        <v>191</v>
      </c>
      <c r="D76" s="185"/>
      <c r="E76" s="186"/>
      <c r="F76" s="38">
        <v>14.82</v>
      </c>
      <c r="G76" s="57">
        <v>55</v>
      </c>
      <c r="H76" s="42" t="s">
        <v>192</v>
      </c>
      <c r="I76" s="38">
        <f t="shared" si="9"/>
        <v>815.1</v>
      </c>
      <c r="J76" s="187" t="s">
        <v>193</v>
      </c>
      <c r="K76" s="187" t="s">
        <v>194</v>
      </c>
      <c r="L76" s="132"/>
      <c r="M76" s="184"/>
      <c r="O76" s="63" t="s">
        <v>190</v>
      </c>
      <c r="P76" s="185" t="s">
        <v>249</v>
      </c>
      <c r="Q76" s="185"/>
      <c r="R76" s="186"/>
      <c r="S76" s="57">
        <v>0.57999999999999996</v>
      </c>
      <c r="T76" s="57">
        <v>13</v>
      </c>
      <c r="U76" s="57" t="s">
        <v>250</v>
      </c>
      <c r="V76" s="40">
        <f>+S76*T76</f>
        <v>7.5399999999999991</v>
      </c>
      <c r="W76" s="141"/>
      <c r="X76" s="189"/>
      <c r="Z76" s="63" t="s">
        <v>190</v>
      </c>
      <c r="AA76" s="185" t="s">
        <v>191</v>
      </c>
      <c r="AB76" s="185"/>
      <c r="AC76" s="186"/>
      <c r="AD76" s="38">
        <f>14.82+0.96</f>
        <v>15.780000000000001</v>
      </c>
      <c r="AE76" s="57">
        <v>55</v>
      </c>
      <c r="AF76" s="42" t="s">
        <v>192</v>
      </c>
      <c r="AG76" s="40">
        <f t="shared" si="10"/>
        <v>867.90000000000009</v>
      </c>
      <c r="AH76" s="132"/>
      <c r="AI76" s="184"/>
      <c r="AK76" s="29" t="s">
        <v>190</v>
      </c>
      <c r="AL76" s="115" t="s">
        <v>289</v>
      </c>
      <c r="AM76" s="235" t="s">
        <v>290</v>
      </c>
      <c r="AN76" s="236"/>
      <c r="AO76" s="57">
        <v>2.57</v>
      </c>
      <c r="AP76" s="57">
        <v>115</v>
      </c>
      <c r="AQ76" s="57">
        <f t="shared" si="11"/>
        <v>295.54999999999995</v>
      </c>
      <c r="AR76" s="57" t="s">
        <v>291</v>
      </c>
      <c r="AS76" s="61" t="s">
        <v>292</v>
      </c>
      <c r="AT76" s="61" t="s">
        <v>293</v>
      </c>
      <c r="AU76" s="234"/>
      <c r="AW76" s="29" t="s">
        <v>190</v>
      </c>
      <c r="AX76" s="115" t="s">
        <v>396</v>
      </c>
      <c r="AY76" s="235" t="s">
        <v>285</v>
      </c>
      <c r="AZ76" s="236"/>
      <c r="BA76" s="57">
        <v>0.9</v>
      </c>
      <c r="BB76" s="57">
        <v>1</v>
      </c>
      <c r="BC76" s="57">
        <f t="shared" si="12"/>
        <v>0.9</v>
      </c>
      <c r="BD76" s="57" t="s">
        <v>397</v>
      </c>
      <c r="BE76" s="61" t="s">
        <v>398</v>
      </c>
      <c r="BF76" s="61" t="s">
        <v>399</v>
      </c>
      <c r="BG76" s="234"/>
    </row>
    <row r="77" spans="2:59" ht="375" x14ac:dyDescent="0.2">
      <c r="B77" s="63" t="s">
        <v>195</v>
      </c>
      <c r="C77" s="185" t="s">
        <v>196</v>
      </c>
      <c r="D77" s="185"/>
      <c r="E77" s="186"/>
      <c r="F77" s="38">
        <v>18.07</v>
      </c>
      <c r="G77" s="57">
        <v>26</v>
      </c>
      <c r="H77" s="42" t="s">
        <v>197</v>
      </c>
      <c r="I77" s="38">
        <f t="shared" si="9"/>
        <v>469.82</v>
      </c>
      <c r="J77" s="187" t="s">
        <v>198</v>
      </c>
      <c r="K77" s="187" t="s">
        <v>199</v>
      </c>
      <c r="L77" s="132"/>
      <c r="M77" s="184"/>
      <c r="O77" s="63" t="s">
        <v>195</v>
      </c>
      <c r="P77" s="185" t="s">
        <v>251</v>
      </c>
      <c r="Q77" s="185"/>
      <c r="R77" s="186"/>
      <c r="S77" s="57">
        <v>0.71</v>
      </c>
      <c r="T77" s="57">
        <v>303</v>
      </c>
      <c r="U77" s="57" t="s">
        <v>252</v>
      </c>
      <c r="V77" s="40">
        <f t="shared" ref="V77:V85" si="13">+S77*T77</f>
        <v>215.13</v>
      </c>
      <c r="W77" s="132"/>
      <c r="X77" s="184"/>
      <c r="Z77" s="63" t="s">
        <v>195</v>
      </c>
      <c r="AA77" s="185" t="s">
        <v>196</v>
      </c>
      <c r="AB77" s="185"/>
      <c r="AC77" s="186"/>
      <c r="AD77" s="38">
        <f>18.07+1.03</f>
        <v>19.100000000000001</v>
      </c>
      <c r="AE77" s="57">
        <v>26</v>
      </c>
      <c r="AF77" s="42" t="s">
        <v>197</v>
      </c>
      <c r="AG77" s="40">
        <f t="shared" si="10"/>
        <v>496.6</v>
      </c>
      <c r="AH77" s="132"/>
      <c r="AI77" s="184"/>
      <c r="AK77" s="29" t="s">
        <v>195</v>
      </c>
      <c r="AL77" s="115" t="s">
        <v>294</v>
      </c>
      <c r="AM77" s="235" t="s">
        <v>295</v>
      </c>
      <c r="AN77" s="236"/>
      <c r="AO77" s="57">
        <v>2.4500000000000002</v>
      </c>
      <c r="AP77" s="57">
        <v>47</v>
      </c>
      <c r="AQ77" s="57">
        <f t="shared" si="11"/>
        <v>115.15</v>
      </c>
      <c r="AR77" s="57" t="s">
        <v>296</v>
      </c>
      <c r="AS77" s="61" t="s">
        <v>297</v>
      </c>
      <c r="AT77" s="61" t="s">
        <v>298</v>
      </c>
      <c r="AU77" s="234"/>
      <c r="AW77" s="29" t="s">
        <v>195</v>
      </c>
      <c r="AX77" s="115" t="s">
        <v>284</v>
      </c>
      <c r="AY77" s="235" t="s">
        <v>285</v>
      </c>
      <c r="AZ77" s="236"/>
      <c r="BA77" s="57">
        <v>1.28</v>
      </c>
      <c r="BB77" s="57">
        <v>30</v>
      </c>
      <c r="BC77" s="57">
        <f t="shared" si="12"/>
        <v>38.4</v>
      </c>
      <c r="BD77" s="57" t="s">
        <v>286</v>
      </c>
      <c r="BE77" s="61" t="s">
        <v>287</v>
      </c>
      <c r="BF77" s="61" t="s">
        <v>288</v>
      </c>
      <c r="BG77" s="234"/>
    </row>
    <row r="78" spans="2:59" ht="390" x14ac:dyDescent="0.2">
      <c r="B78" s="63" t="s">
        <v>200</v>
      </c>
      <c r="C78" s="185" t="s">
        <v>201</v>
      </c>
      <c r="D78" s="185"/>
      <c r="E78" s="186"/>
      <c r="F78" s="38">
        <v>21.23</v>
      </c>
      <c r="G78" s="57">
        <v>56</v>
      </c>
      <c r="H78" s="42" t="s">
        <v>202</v>
      </c>
      <c r="I78" s="38">
        <f t="shared" si="9"/>
        <v>1188.8800000000001</v>
      </c>
      <c r="J78" s="187" t="s">
        <v>203</v>
      </c>
      <c r="K78" s="187" t="s">
        <v>204</v>
      </c>
      <c r="L78" s="132"/>
      <c r="M78" s="188"/>
      <c r="O78" s="63" t="s">
        <v>200</v>
      </c>
      <c r="P78" s="185" t="s">
        <v>253</v>
      </c>
      <c r="Q78" s="185"/>
      <c r="R78" s="186"/>
      <c r="S78" s="57">
        <v>0.85</v>
      </c>
      <c r="T78" s="57">
        <v>175</v>
      </c>
      <c r="U78" s="57" t="s">
        <v>254</v>
      </c>
      <c r="V78" s="40">
        <f t="shared" si="13"/>
        <v>148.75</v>
      </c>
      <c r="W78" s="132"/>
      <c r="X78" s="184"/>
      <c r="Z78" s="63" t="s">
        <v>200</v>
      </c>
      <c r="AA78" s="185" t="s">
        <v>201</v>
      </c>
      <c r="AB78" s="185"/>
      <c r="AC78" s="186"/>
      <c r="AD78" s="38">
        <f>21.27+1.32</f>
        <v>22.59</v>
      </c>
      <c r="AE78" s="57">
        <v>56</v>
      </c>
      <c r="AF78" s="42" t="s">
        <v>202</v>
      </c>
      <c r="AG78" s="40">
        <f t="shared" si="10"/>
        <v>1265.04</v>
      </c>
      <c r="AH78" s="141"/>
      <c r="AI78" s="189"/>
      <c r="AK78" s="29" t="s">
        <v>200</v>
      </c>
      <c r="AL78" s="115" t="s">
        <v>299</v>
      </c>
      <c r="AM78" s="235" t="s">
        <v>300</v>
      </c>
      <c r="AN78" s="236"/>
      <c r="AO78" s="57">
        <v>3.63</v>
      </c>
      <c r="AP78" s="57">
        <v>120</v>
      </c>
      <c r="AQ78" s="57">
        <f t="shared" si="11"/>
        <v>435.59999999999997</v>
      </c>
      <c r="AR78" s="57" t="s">
        <v>301</v>
      </c>
      <c r="AS78" s="61" t="s">
        <v>302</v>
      </c>
      <c r="AT78" s="61" t="s">
        <v>303</v>
      </c>
      <c r="AU78" s="234"/>
      <c r="AW78" s="29" t="s">
        <v>200</v>
      </c>
      <c r="AX78" s="115" t="s">
        <v>289</v>
      </c>
      <c r="AY78" s="235" t="s">
        <v>290</v>
      </c>
      <c r="AZ78" s="236"/>
      <c r="BA78" s="57">
        <v>2.57</v>
      </c>
      <c r="BB78" s="57">
        <v>77</v>
      </c>
      <c r="BC78" s="57">
        <f t="shared" si="12"/>
        <v>197.89</v>
      </c>
      <c r="BD78" s="57" t="s">
        <v>291</v>
      </c>
      <c r="BE78" s="61" t="s">
        <v>292</v>
      </c>
      <c r="BF78" s="61" t="s">
        <v>293</v>
      </c>
      <c r="BG78" s="234"/>
    </row>
    <row r="79" spans="2:59" ht="390" x14ac:dyDescent="0.2">
      <c r="B79" s="63" t="s">
        <v>205</v>
      </c>
      <c r="C79" s="185" t="s">
        <v>206</v>
      </c>
      <c r="D79" s="185"/>
      <c r="E79" s="186"/>
      <c r="F79" s="38">
        <v>21.67</v>
      </c>
      <c r="G79" s="57">
        <v>26</v>
      </c>
      <c r="H79" s="42" t="s">
        <v>207</v>
      </c>
      <c r="I79" s="38">
        <f t="shared" si="9"/>
        <v>563.42000000000007</v>
      </c>
      <c r="J79" s="187" t="s">
        <v>208</v>
      </c>
      <c r="K79" s="187" t="s">
        <v>209</v>
      </c>
      <c r="L79" s="132"/>
      <c r="M79" s="188"/>
      <c r="O79" s="63" t="s">
        <v>205</v>
      </c>
      <c r="P79" s="185" t="s">
        <v>255</v>
      </c>
      <c r="Q79" s="185"/>
      <c r="R79" s="186"/>
      <c r="S79" s="57">
        <v>1.18</v>
      </c>
      <c r="T79" s="57">
        <v>191</v>
      </c>
      <c r="U79" s="57" t="s">
        <v>256</v>
      </c>
      <c r="V79" s="40">
        <f t="shared" si="13"/>
        <v>225.38</v>
      </c>
      <c r="W79" s="132"/>
      <c r="X79" s="184"/>
      <c r="Z79" s="63" t="s">
        <v>205</v>
      </c>
      <c r="AA79" s="185" t="s">
        <v>206</v>
      </c>
      <c r="AB79" s="185"/>
      <c r="AC79" s="186"/>
      <c r="AD79" s="38">
        <f>21.61+1.79</f>
        <v>23.4</v>
      </c>
      <c r="AE79" s="57">
        <v>26</v>
      </c>
      <c r="AF79" s="42" t="s">
        <v>207</v>
      </c>
      <c r="AG79" s="40">
        <f t="shared" si="10"/>
        <v>608.4</v>
      </c>
      <c r="AH79" s="141"/>
      <c r="AI79" s="189"/>
      <c r="AK79" s="29" t="s">
        <v>205</v>
      </c>
      <c r="AL79" s="115" t="s">
        <v>304</v>
      </c>
      <c r="AM79" s="235" t="s">
        <v>305</v>
      </c>
      <c r="AN79" s="236"/>
      <c r="AO79" s="38">
        <v>4</v>
      </c>
      <c r="AP79" s="57">
        <v>17</v>
      </c>
      <c r="AQ79" s="57">
        <f t="shared" si="11"/>
        <v>68</v>
      </c>
      <c r="AR79" s="57" t="s">
        <v>306</v>
      </c>
      <c r="AS79" s="61" t="s">
        <v>307</v>
      </c>
      <c r="AT79" s="61" t="s">
        <v>308</v>
      </c>
      <c r="AU79" s="234"/>
      <c r="AW79" s="29" t="s">
        <v>205</v>
      </c>
      <c r="AX79" s="115" t="s">
        <v>294</v>
      </c>
      <c r="AY79" s="235" t="s">
        <v>295</v>
      </c>
      <c r="AZ79" s="236"/>
      <c r="BA79" s="57">
        <v>2.4500000000000002</v>
      </c>
      <c r="BB79" s="57">
        <v>11</v>
      </c>
      <c r="BC79" s="57">
        <f t="shared" si="12"/>
        <v>26.950000000000003</v>
      </c>
      <c r="BD79" s="57" t="s">
        <v>296</v>
      </c>
      <c r="BE79" s="61" t="s">
        <v>297</v>
      </c>
      <c r="BF79" s="61" t="s">
        <v>298</v>
      </c>
      <c r="BG79" s="234"/>
    </row>
    <row r="80" spans="2:59" ht="390" x14ac:dyDescent="0.2">
      <c r="B80" s="63" t="s">
        <v>210</v>
      </c>
      <c r="C80" s="185" t="s">
        <v>211</v>
      </c>
      <c r="D80" s="185"/>
      <c r="E80" s="186"/>
      <c r="F80" s="38">
        <v>30.54</v>
      </c>
      <c r="G80" s="57">
        <v>40</v>
      </c>
      <c r="H80" s="42" t="s">
        <v>212</v>
      </c>
      <c r="I80" s="38">
        <f t="shared" si="9"/>
        <v>1221.5999999999999</v>
      </c>
      <c r="J80" s="187" t="s">
        <v>213</v>
      </c>
      <c r="K80" s="187" t="s">
        <v>214</v>
      </c>
      <c r="L80" s="132"/>
      <c r="M80" s="184"/>
      <c r="O80" s="63" t="s">
        <v>210</v>
      </c>
      <c r="P80" s="185" t="s">
        <v>257</v>
      </c>
      <c r="Q80" s="185"/>
      <c r="R80" s="186"/>
      <c r="S80" s="57">
        <v>2.4900000000000002</v>
      </c>
      <c r="T80" s="57">
        <v>236</v>
      </c>
      <c r="U80" s="57" t="s">
        <v>258</v>
      </c>
      <c r="V80" s="40">
        <f t="shared" si="13"/>
        <v>587.6400000000001</v>
      </c>
      <c r="W80" s="132"/>
      <c r="X80" s="184"/>
      <c r="Z80" s="63" t="s">
        <v>210</v>
      </c>
      <c r="AA80" s="185" t="s">
        <v>211</v>
      </c>
      <c r="AB80" s="185"/>
      <c r="AC80" s="186"/>
      <c r="AD80" s="38">
        <f>30.69+1.96</f>
        <v>32.65</v>
      </c>
      <c r="AE80" s="57">
        <v>40</v>
      </c>
      <c r="AF80" s="42" t="s">
        <v>212</v>
      </c>
      <c r="AG80" s="40">
        <f t="shared" si="10"/>
        <v>1306</v>
      </c>
      <c r="AH80" s="132"/>
      <c r="AI80" s="184"/>
      <c r="AK80" s="29" t="s">
        <v>210</v>
      </c>
      <c r="AL80" s="115" t="s">
        <v>309</v>
      </c>
      <c r="AM80" s="235" t="s">
        <v>305</v>
      </c>
      <c r="AN80" s="236"/>
      <c r="AO80" s="38">
        <v>4.57</v>
      </c>
      <c r="AP80" s="57">
        <v>97</v>
      </c>
      <c r="AQ80" s="57">
        <f t="shared" si="11"/>
        <v>443.29</v>
      </c>
      <c r="AR80" s="57" t="s">
        <v>310</v>
      </c>
      <c r="AS80" s="61" t="s">
        <v>311</v>
      </c>
      <c r="AT80" s="61" t="s">
        <v>312</v>
      </c>
      <c r="AU80" s="234"/>
      <c r="AW80" s="29" t="s">
        <v>210</v>
      </c>
      <c r="AX80" s="115" t="s">
        <v>299</v>
      </c>
      <c r="AY80" s="235" t="s">
        <v>300</v>
      </c>
      <c r="AZ80" s="236"/>
      <c r="BA80" s="57">
        <v>3.63</v>
      </c>
      <c r="BB80" s="57">
        <v>10</v>
      </c>
      <c r="BC80" s="57">
        <f t="shared" si="12"/>
        <v>36.299999999999997</v>
      </c>
      <c r="BD80" s="57" t="s">
        <v>301</v>
      </c>
      <c r="BE80" s="61" t="s">
        <v>302</v>
      </c>
      <c r="BF80" s="61" t="s">
        <v>303</v>
      </c>
      <c r="BG80" s="234"/>
    </row>
    <row r="81" spans="2:59" ht="390" x14ac:dyDescent="0.2">
      <c r="B81" s="63" t="s">
        <v>215</v>
      </c>
      <c r="C81" s="185" t="s">
        <v>216</v>
      </c>
      <c r="D81" s="185"/>
      <c r="E81" s="186"/>
      <c r="F81" s="38">
        <v>38.54</v>
      </c>
      <c r="G81" s="57">
        <v>14</v>
      </c>
      <c r="H81" s="42" t="s">
        <v>217</v>
      </c>
      <c r="I81" s="38">
        <f t="shared" si="9"/>
        <v>539.55999999999995</v>
      </c>
      <c r="J81" s="187" t="s">
        <v>218</v>
      </c>
      <c r="K81" s="187" t="s">
        <v>219</v>
      </c>
      <c r="L81" s="132"/>
      <c r="M81" s="184"/>
      <c r="O81" s="63" t="s">
        <v>215</v>
      </c>
      <c r="P81" s="185" t="s">
        <v>259</v>
      </c>
      <c r="Q81" s="185"/>
      <c r="R81" s="186"/>
      <c r="S81" s="57">
        <v>2.6</v>
      </c>
      <c r="T81" s="57">
        <v>187</v>
      </c>
      <c r="U81" s="57" t="s">
        <v>260</v>
      </c>
      <c r="V81" s="40">
        <f t="shared" si="13"/>
        <v>486.2</v>
      </c>
      <c r="W81" s="132"/>
      <c r="X81" s="184"/>
      <c r="Z81" s="63" t="s">
        <v>215</v>
      </c>
      <c r="AA81" s="185" t="s">
        <v>271</v>
      </c>
      <c r="AB81" s="185"/>
      <c r="AC81" s="186"/>
      <c r="AD81" s="38">
        <f>38.87+2.51</f>
        <v>41.379999999999995</v>
      </c>
      <c r="AE81" s="57">
        <v>14</v>
      </c>
      <c r="AF81" s="42" t="s">
        <v>217</v>
      </c>
      <c r="AG81" s="40">
        <f t="shared" si="10"/>
        <v>579.31999999999994</v>
      </c>
      <c r="AH81" s="132"/>
      <c r="AI81" s="184"/>
      <c r="AK81" s="29" t="s">
        <v>215</v>
      </c>
      <c r="AL81" s="115" t="s">
        <v>313</v>
      </c>
      <c r="AM81" s="235" t="s">
        <v>314</v>
      </c>
      <c r="AN81" s="236"/>
      <c r="AO81" s="57">
        <v>8.1199999999999992</v>
      </c>
      <c r="AP81" s="57">
        <v>64</v>
      </c>
      <c r="AQ81" s="57">
        <f t="shared" si="11"/>
        <v>519.67999999999995</v>
      </c>
      <c r="AR81" s="57" t="s">
        <v>315</v>
      </c>
      <c r="AS81" s="61" t="s">
        <v>316</v>
      </c>
      <c r="AT81" s="61" t="s">
        <v>317</v>
      </c>
      <c r="AU81" s="234"/>
      <c r="AW81" s="29" t="s">
        <v>215</v>
      </c>
      <c r="AX81" s="115" t="s">
        <v>304</v>
      </c>
      <c r="AY81" s="235" t="s">
        <v>305</v>
      </c>
      <c r="AZ81" s="236"/>
      <c r="BA81" s="38">
        <v>4</v>
      </c>
      <c r="BB81" s="57">
        <v>2</v>
      </c>
      <c r="BC81" s="57">
        <f t="shared" si="12"/>
        <v>8</v>
      </c>
      <c r="BD81" s="57" t="s">
        <v>306</v>
      </c>
      <c r="BE81" s="61" t="s">
        <v>307</v>
      </c>
      <c r="BF81" s="61" t="s">
        <v>308</v>
      </c>
      <c r="BG81" s="234"/>
    </row>
    <row r="82" spans="2:59" ht="390" x14ac:dyDescent="0.2">
      <c r="B82" s="63" t="s">
        <v>220</v>
      </c>
      <c r="C82" s="185" t="s">
        <v>221</v>
      </c>
      <c r="D82" s="185"/>
      <c r="E82" s="186"/>
      <c r="F82" s="38">
        <v>56.74</v>
      </c>
      <c r="G82" s="57">
        <v>22</v>
      </c>
      <c r="H82" s="42" t="s">
        <v>222</v>
      </c>
      <c r="I82" s="38">
        <f t="shared" si="9"/>
        <v>1248.28</v>
      </c>
      <c r="J82" s="187" t="s">
        <v>223</v>
      </c>
      <c r="K82" s="187" t="s">
        <v>224</v>
      </c>
      <c r="L82" s="132"/>
      <c r="M82" s="184"/>
      <c r="O82" s="63" t="s">
        <v>220</v>
      </c>
      <c r="P82" s="185" t="s">
        <v>261</v>
      </c>
      <c r="Q82" s="185"/>
      <c r="R82" s="186"/>
      <c r="S82" s="57">
        <v>3.59</v>
      </c>
      <c r="T82" s="57">
        <v>153</v>
      </c>
      <c r="U82" s="57" t="s">
        <v>262</v>
      </c>
      <c r="V82" s="40">
        <f t="shared" si="13"/>
        <v>549.27</v>
      </c>
      <c r="W82" s="132"/>
      <c r="X82" s="184"/>
      <c r="Z82" s="63" t="s">
        <v>220</v>
      </c>
      <c r="AA82" s="185" t="s">
        <v>272</v>
      </c>
      <c r="AB82" s="185"/>
      <c r="AC82" s="186"/>
      <c r="AD82" s="38">
        <f>56.69+3.16</f>
        <v>59.849999999999994</v>
      </c>
      <c r="AE82" s="57">
        <v>22</v>
      </c>
      <c r="AF82" s="42" t="s">
        <v>222</v>
      </c>
      <c r="AG82" s="40">
        <f t="shared" si="10"/>
        <v>1316.6999999999998</v>
      </c>
      <c r="AH82" s="132"/>
      <c r="AI82" s="184"/>
      <c r="AK82" s="29" t="s">
        <v>220</v>
      </c>
      <c r="AL82" s="115" t="s">
        <v>318</v>
      </c>
      <c r="AM82" s="235" t="s">
        <v>319</v>
      </c>
      <c r="AN82" s="236"/>
      <c r="AO82" s="57">
        <v>9.83</v>
      </c>
      <c r="AP82" s="57">
        <v>12</v>
      </c>
      <c r="AQ82" s="57">
        <f t="shared" si="11"/>
        <v>117.96000000000001</v>
      </c>
      <c r="AR82" s="57" t="s">
        <v>320</v>
      </c>
      <c r="AS82" s="61" t="s">
        <v>188</v>
      </c>
      <c r="AT82" s="61" t="s">
        <v>321</v>
      </c>
      <c r="AU82" s="234"/>
      <c r="AW82" s="29" t="s">
        <v>220</v>
      </c>
      <c r="AX82" s="115" t="s">
        <v>309</v>
      </c>
      <c r="AY82" s="235" t="s">
        <v>305</v>
      </c>
      <c r="AZ82" s="236"/>
      <c r="BA82" s="38">
        <v>4.57</v>
      </c>
      <c r="BB82" s="57">
        <v>62</v>
      </c>
      <c r="BC82" s="57">
        <f t="shared" si="12"/>
        <v>283.34000000000003</v>
      </c>
      <c r="BD82" s="57" t="s">
        <v>310</v>
      </c>
      <c r="BE82" s="61" t="s">
        <v>311</v>
      </c>
      <c r="BF82" s="61" t="s">
        <v>312</v>
      </c>
      <c r="BG82" s="234"/>
    </row>
    <row r="83" spans="2:59" ht="390" x14ac:dyDescent="0.2">
      <c r="B83" s="63" t="s">
        <v>225</v>
      </c>
      <c r="C83" s="185" t="s">
        <v>226</v>
      </c>
      <c r="D83" s="185"/>
      <c r="E83" s="186"/>
      <c r="F83" s="38">
        <v>74.62</v>
      </c>
      <c r="G83" s="57">
        <v>10</v>
      </c>
      <c r="H83" s="42" t="s">
        <v>227</v>
      </c>
      <c r="I83" s="38">
        <f t="shared" si="9"/>
        <v>746.2</v>
      </c>
      <c r="J83" s="187" t="s">
        <v>228</v>
      </c>
      <c r="K83" s="187" t="s">
        <v>229</v>
      </c>
      <c r="L83" s="132"/>
      <c r="M83" s="184"/>
      <c r="O83" s="63" t="s">
        <v>225</v>
      </c>
      <c r="P83" s="185" t="s">
        <v>263</v>
      </c>
      <c r="Q83" s="185"/>
      <c r="R83" s="186"/>
      <c r="S83" s="57">
        <v>3.98</v>
      </c>
      <c r="T83" s="57">
        <v>90</v>
      </c>
      <c r="U83" s="57" t="s">
        <v>264</v>
      </c>
      <c r="V83" s="40">
        <f t="shared" si="13"/>
        <v>358.2</v>
      </c>
      <c r="W83" s="132"/>
      <c r="X83" s="184"/>
      <c r="Z83" s="63" t="s">
        <v>225</v>
      </c>
      <c r="AA83" s="185" t="s">
        <v>226</v>
      </c>
      <c r="AB83" s="185"/>
      <c r="AC83" s="186"/>
      <c r="AD83" s="38">
        <f>74.56+4.14</f>
        <v>78.7</v>
      </c>
      <c r="AE83" s="57">
        <v>10</v>
      </c>
      <c r="AF83" s="42" t="s">
        <v>227</v>
      </c>
      <c r="AG83" s="40">
        <f t="shared" si="10"/>
        <v>787</v>
      </c>
      <c r="AH83" s="132"/>
      <c r="AI83" s="184"/>
      <c r="AK83" s="29" t="s">
        <v>225</v>
      </c>
      <c r="AL83" s="115" t="s">
        <v>322</v>
      </c>
      <c r="AM83" s="235" t="s">
        <v>319</v>
      </c>
      <c r="AN83" s="236"/>
      <c r="AO83" s="57">
        <v>14.82</v>
      </c>
      <c r="AP83" s="57">
        <v>8</v>
      </c>
      <c r="AQ83" s="57">
        <f t="shared" si="11"/>
        <v>118.56</v>
      </c>
      <c r="AR83" s="57" t="s">
        <v>323</v>
      </c>
      <c r="AS83" s="61" t="s">
        <v>193</v>
      </c>
      <c r="AT83" s="61" t="s">
        <v>324</v>
      </c>
      <c r="AU83" s="234"/>
      <c r="AW83" s="29" t="s">
        <v>225</v>
      </c>
      <c r="AX83" s="115" t="s">
        <v>313</v>
      </c>
      <c r="AY83" s="235" t="s">
        <v>314</v>
      </c>
      <c r="AZ83" s="236"/>
      <c r="BA83" s="57">
        <v>8.1199999999999992</v>
      </c>
      <c r="BB83" s="57">
        <v>149</v>
      </c>
      <c r="BC83" s="57">
        <f t="shared" si="12"/>
        <v>1209.8799999999999</v>
      </c>
      <c r="BD83" s="57" t="s">
        <v>315</v>
      </c>
      <c r="BE83" s="61" t="s">
        <v>316</v>
      </c>
      <c r="BF83" s="61" t="s">
        <v>317</v>
      </c>
      <c r="BG83" s="234"/>
    </row>
    <row r="84" spans="2:59" ht="390" x14ac:dyDescent="0.2">
      <c r="B84" s="63" t="s">
        <v>230</v>
      </c>
      <c r="C84" s="185" t="s">
        <v>231</v>
      </c>
      <c r="D84" s="185"/>
      <c r="E84" s="186"/>
      <c r="F84" s="38">
        <v>91.6</v>
      </c>
      <c r="G84" s="57">
        <v>4</v>
      </c>
      <c r="H84" s="42" t="s">
        <v>232</v>
      </c>
      <c r="I84" s="38">
        <f t="shared" si="9"/>
        <v>366.4</v>
      </c>
      <c r="J84" s="187" t="s">
        <v>233</v>
      </c>
      <c r="K84" s="187" t="s">
        <v>234</v>
      </c>
      <c r="L84" s="132"/>
      <c r="M84" s="184"/>
      <c r="O84" s="63" t="s">
        <v>230</v>
      </c>
      <c r="P84" s="185" t="s">
        <v>265</v>
      </c>
      <c r="Q84" s="185"/>
      <c r="R84" s="186"/>
      <c r="S84" s="57">
        <v>4.45</v>
      </c>
      <c r="T84" s="57">
        <v>230</v>
      </c>
      <c r="U84" s="57" t="s">
        <v>266</v>
      </c>
      <c r="V84" s="40">
        <f t="shared" si="13"/>
        <v>1023.5</v>
      </c>
      <c r="W84" s="132"/>
      <c r="X84" s="184"/>
      <c r="Z84" s="63" t="s">
        <v>230</v>
      </c>
      <c r="AA84" s="185" t="s">
        <v>231</v>
      </c>
      <c r="AB84" s="185"/>
      <c r="AC84" s="186"/>
      <c r="AD84" s="38">
        <f>91.7+4.96</f>
        <v>96.66</v>
      </c>
      <c r="AE84" s="57">
        <v>4</v>
      </c>
      <c r="AF84" s="42" t="s">
        <v>232</v>
      </c>
      <c r="AG84" s="40">
        <f t="shared" si="10"/>
        <v>386.64</v>
      </c>
      <c r="AH84" s="132"/>
      <c r="AI84" s="184"/>
      <c r="AK84" s="29" t="s">
        <v>230</v>
      </c>
      <c r="AL84" s="115" t="s">
        <v>325</v>
      </c>
      <c r="AM84" s="235" t="s">
        <v>319</v>
      </c>
      <c r="AN84" s="236"/>
      <c r="AO84" s="57">
        <v>18.07</v>
      </c>
      <c r="AP84" s="57">
        <v>20</v>
      </c>
      <c r="AQ84" s="57">
        <f t="shared" si="11"/>
        <v>361.4</v>
      </c>
      <c r="AR84" s="57" t="s">
        <v>326</v>
      </c>
      <c r="AS84" s="61" t="s">
        <v>198</v>
      </c>
      <c r="AT84" s="61" t="s">
        <v>327</v>
      </c>
      <c r="AU84" s="234"/>
      <c r="AW84" s="29" t="s">
        <v>230</v>
      </c>
      <c r="AX84" s="115" t="s">
        <v>318</v>
      </c>
      <c r="AY84" s="235" t="s">
        <v>319</v>
      </c>
      <c r="AZ84" s="236"/>
      <c r="BA84" s="57">
        <v>9.83</v>
      </c>
      <c r="BB84" s="57">
        <v>5</v>
      </c>
      <c r="BC84" s="57">
        <f t="shared" si="12"/>
        <v>49.15</v>
      </c>
      <c r="BD84" s="57" t="s">
        <v>320</v>
      </c>
      <c r="BE84" s="61" t="s">
        <v>188</v>
      </c>
      <c r="BF84" s="61" t="s">
        <v>321</v>
      </c>
      <c r="BG84" s="234"/>
    </row>
    <row r="85" spans="2:59" ht="390" x14ac:dyDescent="0.2">
      <c r="B85" s="63" t="s">
        <v>235</v>
      </c>
      <c r="C85" s="185" t="s">
        <v>236</v>
      </c>
      <c r="D85" s="185"/>
      <c r="E85" s="186"/>
      <c r="F85" s="38">
        <v>110.2</v>
      </c>
      <c r="G85" s="57">
        <v>4</v>
      </c>
      <c r="H85" s="42" t="s">
        <v>237</v>
      </c>
      <c r="I85" s="38">
        <f t="shared" si="9"/>
        <v>440.8</v>
      </c>
      <c r="J85" s="187" t="s">
        <v>238</v>
      </c>
      <c r="K85" s="187" t="s">
        <v>239</v>
      </c>
      <c r="L85" s="141"/>
      <c r="M85" s="189"/>
      <c r="O85" s="63" t="s">
        <v>235</v>
      </c>
      <c r="P85" s="185" t="s">
        <v>267</v>
      </c>
      <c r="Q85" s="185"/>
      <c r="R85" s="186"/>
      <c r="S85" s="57">
        <v>8.11</v>
      </c>
      <c r="T85" s="57">
        <v>83</v>
      </c>
      <c r="U85" s="57" t="s">
        <v>268</v>
      </c>
      <c r="V85" s="40">
        <f t="shared" si="13"/>
        <v>673.13</v>
      </c>
      <c r="W85" s="132"/>
      <c r="X85" s="184"/>
      <c r="Z85" s="63" t="s">
        <v>235</v>
      </c>
      <c r="AA85" s="185" t="s">
        <v>236</v>
      </c>
      <c r="AB85" s="185"/>
      <c r="AC85" s="186"/>
      <c r="AD85" s="38">
        <f>110.12+5.57</f>
        <v>115.69</v>
      </c>
      <c r="AE85" s="57">
        <v>4</v>
      </c>
      <c r="AF85" s="42" t="s">
        <v>237</v>
      </c>
      <c r="AG85" s="40">
        <f t="shared" si="10"/>
        <v>462.76</v>
      </c>
      <c r="AH85" s="141"/>
      <c r="AI85" s="189"/>
      <c r="AK85" s="29" t="s">
        <v>235</v>
      </c>
      <c r="AL85" s="115" t="s">
        <v>328</v>
      </c>
      <c r="AM85" s="235" t="s">
        <v>319</v>
      </c>
      <c r="AN85" s="236"/>
      <c r="AO85" s="57">
        <v>21.27</v>
      </c>
      <c r="AP85" s="57">
        <v>15</v>
      </c>
      <c r="AQ85" s="57">
        <f t="shared" si="11"/>
        <v>319.05</v>
      </c>
      <c r="AR85" s="57" t="s">
        <v>329</v>
      </c>
      <c r="AS85" s="61" t="s">
        <v>203</v>
      </c>
      <c r="AT85" s="61" t="s">
        <v>330</v>
      </c>
      <c r="AU85" s="234"/>
      <c r="AW85" s="29" t="s">
        <v>235</v>
      </c>
      <c r="AX85" s="115" t="s">
        <v>322</v>
      </c>
      <c r="AY85" s="235" t="s">
        <v>319</v>
      </c>
      <c r="AZ85" s="236"/>
      <c r="BA85" s="57">
        <v>14.82</v>
      </c>
      <c r="BB85" s="57">
        <v>16</v>
      </c>
      <c r="BC85" s="57">
        <f t="shared" si="12"/>
        <v>237.12</v>
      </c>
      <c r="BD85" s="57" t="s">
        <v>323</v>
      </c>
      <c r="BE85" s="61" t="s">
        <v>193</v>
      </c>
      <c r="BF85" s="61" t="s">
        <v>324</v>
      </c>
      <c r="BG85" s="234"/>
    </row>
    <row r="86" spans="2:59" ht="390" x14ac:dyDescent="0.2">
      <c r="B86" s="63"/>
      <c r="C86" s="183" t="s">
        <v>46</v>
      </c>
      <c r="D86" s="130"/>
      <c r="E86" s="130"/>
      <c r="F86" s="190"/>
      <c r="G86" s="58">
        <f>SUM(G75:G85)</f>
        <v>272</v>
      </c>
      <c r="H86" s="57"/>
      <c r="I86" s="191">
        <f>SUM(I75:I85)</f>
        <v>7747.5099999999993</v>
      </c>
      <c r="J86" s="192"/>
      <c r="K86" s="192"/>
      <c r="L86" s="132"/>
      <c r="M86" s="184"/>
      <c r="O86" s="63"/>
      <c r="P86" s="183" t="s">
        <v>46</v>
      </c>
      <c r="Q86" s="130"/>
      <c r="R86" s="130"/>
      <c r="S86" s="190"/>
      <c r="T86" s="58">
        <f>SUM(T75:T85)</f>
        <v>1703</v>
      </c>
      <c r="U86" s="57"/>
      <c r="V86" s="208">
        <f>SUM(V75:V85)</f>
        <v>4294.4799999999996</v>
      </c>
      <c r="W86" s="141"/>
      <c r="X86" s="189"/>
      <c r="Z86" s="63"/>
      <c r="AA86" s="183" t="s">
        <v>46</v>
      </c>
      <c r="AB86" s="130"/>
      <c r="AC86" s="130"/>
      <c r="AD86" s="190"/>
      <c r="AE86" s="58">
        <f>SUM(AE75:AE85)</f>
        <v>272</v>
      </c>
      <c r="AF86" s="57"/>
      <c r="AG86" s="208">
        <f>SUM(AG75:AG85)</f>
        <v>9303.81</v>
      </c>
      <c r="AH86" s="132"/>
      <c r="AI86" s="184"/>
      <c r="AK86" s="29" t="s">
        <v>331</v>
      </c>
      <c r="AL86" s="115" t="s">
        <v>332</v>
      </c>
      <c r="AM86" s="235" t="s">
        <v>319</v>
      </c>
      <c r="AN86" s="236"/>
      <c r="AO86" s="57">
        <v>21.61</v>
      </c>
      <c r="AP86" s="57">
        <v>2</v>
      </c>
      <c r="AQ86" s="57">
        <f t="shared" si="11"/>
        <v>43.22</v>
      </c>
      <c r="AR86" s="57" t="s">
        <v>333</v>
      </c>
      <c r="AS86" s="61" t="s">
        <v>208</v>
      </c>
      <c r="AT86" s="61" t="s">
        <v>334</v>
      </c>
      <c r="AU86" s="234"/>
      <c r="AW86" s="237"/>
      <c r="AX86" s="73" t="s">
        <v>46</v>
      </c>
      <c r="AY86" s="73"/>
      <c r="AZ86" s="73"/>
      <c r="BA86" s="73"/>
      <c r="BB86" s="64">
        <f>SUM(BB75:BB85)</f>
        <v>390</v>
      </c>
      <c r="BC86" s="238">
        <f>SUM(BC75:BC85)</f>
        <v>2108.1799999999998</v>
      </c>
      <c r="BD86" s="186"/>
      <c r="BE86" s="239"/>
      <c r="BF86" s="239"/>
      <c r="BG86" s="240"/>
    </row>
    <row r="87" spans="2:59" ht="409.5" x14ac:dyDescent="0.2">
      <c r="B87" s="78" t="s">
        <v>240</v>
      </c>
      <c r="C87" s="78"/>
      <c r="D87" s="78"/>
      <c r="E87" s="58"/>
      <c r="F87" s="58"/>
      <c r="G87" s="58"/>
      <c r="H87" s="193"/>
      <c r="I87" s="194"/>
      <c r="J87" s="195"/>
      <c r="K87" s="195"/>
      <c r="L87" s="132"/>
      <c r="M87" s="184"/>
      <c r="O87" s="78" t="s">
        <v>240</v>
      </c>
      <c r="P87" s="78"/>
      <c r="Q87" s="78"/>
      <c r="R87" s="58"/>
      <c r="S87" s="58"/>
      <c r="T87" s="58"/>
      <c r="U87" s="193"/>
      <c r="V87" s="194"/>
      <c r="W87" s="132"/>
      <c r="X87" s="184"/>
      <c r="Z87" s="78" t="s">
        <v>240</v>
      </c>
      <c r="AA87" s="78"/>
      <c r="AB87" s="78"/>
      <c r="AC87" s="58"/>
      <c r="AD87" s="58"/>
      <c r="AE87" s="58"/>
      <c r="AF87" s="193"/>
      <c r="AG87" s="194"/>
      <c r="AH87" s="132"/>
      <c r="AI87" s="184"/>
      <c r="AK87" s="29" t="s">
        <v>335</v>
      </c>
      <c r="AL87" s="115" t="s">
        <v>336</v>
      </c>
      <c r="AM87" s="235" t="s">
        <v>337</v>
      </c>
      <c r="AN87" s="236"/>
      <c r="AO87" s="57">
        <v>96.66</v>
      </c>
      <c r="AP87" s="57">
        <v>2</v>
      </c>
      <c r="AQ87" s="57">
        <f t="shared" si="11"/>
        <v>193.32</v>
      </c>
      <c r="AR87" s="57" t="s">
        <v>338</v>
      </c>
      <c r="AS87" s="63" t="s">
        <v>233</v>
      </c>
      <c r="AT87" s="61" t="s">
        <v>339</v>
      </c>
      <c r="AU87" s="234"/>
      <c r="AW87" s="241" t="s">
        <v>4</v>
      </c>
      <c r="AX87" s="81"/>
      <c r="AY87" s="81"/>
      <c r="AZ87" s="133"/>
      <c r="BA87" s="133"/>
      <c r="BB87" s="133"/>
      <c r="BC87" s="133"/>
      <c r="BD87" s="133"/>
      <c r="BE87" s="133"/>
      <c r="BF87" s="133"/>
      <c r="BG87" s="242"/>
    </row>
    <row r="88" spans="2:59" ht="15.75" x14ac:dyDescent="0.2">
      <c r="B88" s="63">
        <v>3.1</v>
      </c>
      <c r="C88" s="70" t="s">
        <v>50</v>
      </c>
      <c r="D88" s="70"/>
      <c r="E88" s="70"/>
      <c r="F88" s="70"/>
      <c r="G88" s="70"/>
      <c r="H88" s="70"/>
      <c r="I88" s="70"/>
      <c r="J88" s="70"/>
      <c r="K88" s="70"/>
      <c r="L88" s="70"/>
      <c r="M88" s="135"/>
      <c r="O88" s="63">
        <v>3.1</v>
      </c>
      <c r="P88" s="70" t="s">
        <v>50</v>
      </c>
      <c r="Q88" s="70"/>
      <c r="R88" s="70"/>
      <c r="S88" s="70"/>
      <c r="T88" s="70"/>
      <c r="U88" s="70"/>
      <c r="V88" s="70"/>
      <c r="W88" s="70"/>
      <c r="X88" s="135"/>
      <c r="Z88" s="63">
        <v>3.1</v>
      </c>
      <c r="AA88" s="70" t="s">
        <v>50</v>
      </c>
      <c r="AB88" s="70"/>
      <c r="AC88" s="70"/>
      <c r="AD88" s="70"/>
      <c r="AE88" s="70"/>
      <c r="AF88" s="70"/>
      <c r="AG88" s="70"/>
      <c r="AH88" s="70"/>
      <c r="AI88" s="135"/>
      <c r="AK88" s="237"/>
      <c r="AL88" s="73" t="s">
        <v>46</v>
      </c>
      <c r="AM88" s="73"/>
      <c r="AN88" s="73"/>
      <c r="AO88" s="73"/>
      <c r="AP88" s="64">
        <f>SUM(AP75:AP87)</f>
        <v>628</v>
      </c>
      <c r="AQ88" s="238">
        <f>SUM(AQ75:AQ87)</f>
        <v>3170.3</v>
      </c>
      <c r="AR88" s="186"/>
      <c r="AS88" s="239"/>
      <c r="AT88" s="239"/>
      <c r="AU88" s="240"/>
      <c r="AW88" s="222" t="s">
        <v>340</v>
      </c>
      <c r="AX88" s="182"/>
      <c r="AY88" s="182"/>
      <c r="AZ88" s="182"/>
      <c r="BA88" s="182"/>
      <c r="BB88" s="182"/>
      <c r="BC88" s="182"/>
      <c r="BD88" s="182"/>
      <c r="BE88" s="227"/>
      <c r="BF88" s="227"/>
      <c r="BG88" s="228"/>
    </row>
    <row r="89" spans="2:59" ht="15.75" x14ac:dyDescent="0.2">
      <c r="B89" s="63">
        <v>3.2</v>
      </c>
      <c r="C89" s="70" t="s">
        <v>51</v>
      </c>
      <c r="D89" s="70"/>
      <c r="E89" s="70"/>
      <c r="F89" s="70"/>
      <c r="G89" s="70"/>
      <c r="H89" s="70"/>
      <c r="I89" s="70"/>
      <c r="J89" s="70"/>
      <c r="K89" s="70"/>
      <c r="L89" s="70"/>
      <c r="M89" s="135"/>
      <c r="O89" s="63">
        <v>3.2</v>
      </c>
      <c r="P89" s="70" t="s">
        <v>51</v>
      </c>
      <c r="Q89" s="70"/>
      <c r="R89" s="70"/>
      <c r="S89" s="70"/>
      <c r="T89" s="70"/>
      <c r="U89" s="70"/>
      <c r="V89" s="70"/>
      <c r="W89" s="70"/>
      <c r="X89" s="135"/>
      <c r="Z89" s="63">
        <v>3.2</v>
      </c>
      <c r="AA89" s="70" t="s">
        <v>51</v>
      </c>
      <c r="AB89" s="70"/>
      <c r="AC89" s="70"/>
      <c r="AD89" s="70"/>
      <c r="AE89" s="70"/>
      <c r="AF89" s="70"/>
      <c r="AG89" s="70"/>
      <c r="AH89" s="70"/>
      <c r="AI89" s="135"/>
      <c r="AK89" s="241" t="s">
        <v>4</v>
      </c>
      <c r="AL89" s="81"/>
      <c r="AM89" s="81"/>
      <c r="AN89" s="133"/>
      <c r="AO89" s="133"/>
      <c r="AP89" s="133"/>
      <c r="AQ89" s="133"/>
      <c r="AR89" s="133"/>
      <c r="AS89" s="133"/>
      <c r="AT89" s="133"/>
      <c r="AU89" s="242"/>
      <c r="AW89" s="229" t="s">
        <v>175</v>
      </c>
      <c r="AX89" s="131" t="s">
        <v>341</v>
      </c>
      <c r="AY89" s="177"/>
      <c r="AZ89" s="177"/>
      <c r="BA89" s="177"/>
      <c r="BB89" s="177"/>
      <c r="BC89" s="177"/>
      <c r="BD89" s="177"/>
      <c r="BE89" s="177"/>
      <c r="BF89" s="177"/>
      <c r="BG89" s="223"/>
    </row>
    <row r="90" spans="2:59" ht="15.75" x14ac:dyDescent="0.2">
      <c r="B90" s="196"/>
      <c r="C90" s="7"/>
      <c r="D90" s="7"/>
      <c r="E90" s="7"/>
      <c r="F90" s="7"/>
      <c r="G90" s="7"/>
      <c r="H90" s="7"/>
      <c r="I90" s="7"/>
      <c r="J90" s="7"/>
      <c r="K90" s="7"/>
      <c r="L90" s="7"/>
      <c r="M90" s="197"/>
      <c r="O90" s="196"/>
      <c r="P90" s="7"/>
      <c r="Q90" s="7"/>
      <c r="R90" s="7"/>
      <c r="S90" s="7"/>
      <c r="T90" s="7"/>
      <c r="U90" s="7"/>
      <c r="V90" s="7"/>
      <c r="W90" s="7"/>
      <c r="X90" s="197"/>
      <c r="Z90" s="196"/>
      <c r="AA90" s="7"/>
      <c r="AB90" s="7"/>
      <c r="AC90" s="7"/>
      <c r="AD90" s="7"/>
      <c r="AE90" s="7"/>
      <c r="AF90" s="7"/>
      <c r="AG90" s="7"/>
      <c r="AH90" s="7"/>
      <c r="AI90" s="197"/>
      <c r="AK90" s="222" t="s">
        <v>340</v>
      </c>
      <c r="AL90" s="182"/>
      <c r="AM90" s="182"/>
      <c r="AN90" s="182"/>
      <c r="AO90" s="182"/>
      <c r="AP90" s="182"/>
      <c r="AQ90" s="182"/>
      <c r="AR90" s="182"/>
      <c r="AS90" s="227"/>
      <c r="AT90" s="227"/>
      <c r="AU90" s="228"/>
      <c r="AW90" s="229" t="s">
        <v>177</v>
      </c>
      <c r="AX90" s="131" t="s">
        <v>178</v>
      </c>
      <c r="AY90" s="177"/>
      <c r="AZ90" s="177"/>
      <c r="BA90" s="177"/>
      <c r="BB90" s="177"/>
      <c r="BC90" s="177"/>
      <c r="BD90" s="177"/>
      <c r="BE90" s="177"/>
      <c r="BF90" s="177"/>
      <c r="BG90" s="223"/>
    </row>
    <row r="91" spans="2:59" ht="15.75" x14ac:dyDescent="0.2">
      <c r="B91" s="196"/>
      <c r="C91" s="198" t="s">
        <v>52</v>
      </c>
      <c r="D91" s="199"/>
      <c r="E91" s="199"/>
      <c r="F91" s="199"/>
      <c r="G91" s="199"/>
      <c r="H91" s="199"/>
      <c r="I91" s="200"/>
      <c r="J91" s="201" t="s">
        <v>141</v>
      </c>
      <c r="K91" s="201" t="s">
        <v>167</v>
      </c>
      <c r="L91" s="198"/>
      <c r="M91" s="200"/>
      <c r="O91" s="196"/>
      <c r="P91" s="198" t="s">
        <v>52</v>
      </c>
      <c r="Q91" s="199"/>
      <c r="R91" s="199"/>
      <c r="S91" s="199"/>
      <c r="T91" s="199"/>
      <c r="U91" s="199"/>
      <c r="V91" s="200"/>
      <c r="W91" s="209" t="s">
        <v>79</v>
      </c>
      <c r="X91" s="210" t="str">
        <f>U62</f>
        <v>10.05.23</v>
      </c>
      <c r="Z91" s="196"/>
      <c r="AA91" s="198" t="s">
        <v>52</v>
      </c>
      <c r="AB91" s="199"/>
      <c r="AC91" s="199"/>
      <c r="AD91" s="199"/>
      <c r="AE91" s="199"/>
      <c r="AF91" s="199"/>
      <c r="AG91" s="200"/>
      <c r="AH91" s="209" t="s">
        <v>79</v>
      </c>
      <c r="AI91" s="210" t="str">
        <f>AF62</f>
        <v>10.05.23</v>
      </c>
      <c r="AK91" s="229" t="s">
        <v>175</v>
      </c>
      <c r="AL91" s="131" t="s">
        <v>341</v>
      </c>
      <c r="AM91" s="177"/>
      <c r="AN91" s="177"/>
      <c r="AO91" s="177"/>
      <c r="AP91" s="177"/>
      <c r="AQ91" s="177"/>
      <c r="AR91" s="177"/>
      <c r="AS91" s="177"/>
      <c r="AT91" s="177"/>
      <c r="AU91" s="223"/>
      <c r="AW91" s="229" t="s">
        <v>179</v>
      </c>
      <c r="AX91" s="131" t="s">
        <v>278</v>
      </c>
      <c r="AY91" s="177"/>
      <c r="AZ91" s="177"/>
      <c r="BA91" s="177"/>
      <c r="BB91" s="177"/>
      <c r="BC91" s="177"/>
      <c r="BD91" s="177"/>
      <c r="BE91" s="177"/>
      <c r="BF91" s="177"/>
      <c r="BG91" s="223"/>
    </row>
    <row r="92" spans="2:59" ht="15" x14ac:dyDescent="0.2">
      <c r="B92" s="202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4"/>
      <c r="O92" s="202"/>
      <c r="P92" s="203"/>
      <c r="Q92" s="203"/>
      <c r="R92" s="203"/>
      <c r="S92" s="203"/>
      <c r="T92" s="203"/>
      <c r="U92" s="203"/>
      <c r="V92" s="203"/>
      <c r="W92" s="203"/>
      <c r="X92" s="204"/>
      <c r="AK92" s="229" t="s">
        <v>177</v>
      </c>
      <c r="AL92" s="131" t="s">
        <v>178</v>
      </c>
      <c r="AM92" s="177"/>
      <c r="AN92" s="177"/>
      <c r="AO92" s="177"/>
      <c r="AP92" s="177"/>
      <c r="AQ92" s="177"/>
      <c r="AR92" s="177"/>
      <c r="AS92" s="177"/>
      <c r="AT92" s="177"/>
      <c r="AU92" s="223"/>
      <c r="AW92" s="243" t="s">
        <v>279</v>
      </c>
      <c r="AX92" s="244" t="s">
        <v>280</v>
      </c>
      <c r="AY92" s="245"/>
      <c r="AZ92" s="245"/>
      <c r="BA92" s="245"/>
      <c r="BB92" s="245"/>
      <c r="BC92" s="245"/>
      <c r="BD92" s="245"/>
      <c r="BE92" s="245"/>
      <c r="BF92" s="245"/>
      <c r="BG92" s="246"/>
    </row>
    <row r="93" spans="2:59" ht="63" x14ac:dyDescent="0.2">
      <c r="AK93" s="229" t="s">
        <v>179</v>
      </c>
      <c r="AL93" s="131" t="s">
        <v>278</v>
      </c>
      <c r="AM93" s="177"/>
      <c r="AN93" s="177"/>
      <c r="AO93" s="177"/>
      <c r="AP93" s="177"/>
      <c r="AQ93" s="177"/>
      <c r="AR93" s="177"/>
      <c r="AS93" s="177"/>
      <c r="AT93" s="177"/>
      <c r="AU93" s="223"/>
      <c r="AW93" s="2" t="s">
        <v>342</v>
      </c>
      <c r="AX93" s="110" t="s">
        <v>181</v>
      </c>
      <c r="AY93" s="111"/>
      <c r="AZ93" s="111"/>
      <c r="BA93" s="58" t="s">
        <v>281</v>
      </c>
      <c r="BB93" s="58" t="s">
        <v>282</v>
      </c>
      <c r="BC93" s="58" t="s">
        <v>283</v>
      </c>
      <c r="BD93" s="247" t="s">
        <v>44</v>
      </c>
      <c r="BE93" s="134" t="s">
        <v>57</v>
      </c>
      <c r="BF93" s="134" t="s">
        <v>75</v>
      </c>
      <c r="BG93" s="248" t="s">
        <v>45</v>
      </c>
    </row>
    <row r="94" spans="2:59" ht="330" x14ac:dyDescent="0.2">
      <c r="AK94" s="243" t="s">
        <v>279</v>
      </c>
      <c r="AL94" s="244" t="s">
        <v>280</v>
      </c>
      <c r="AM94" s="245"/>
      <c r="AN94" s="245"/>
      <c r="AO94" s="245"/>
      <c r="AP94" s="245"/>
      <c r="AQ94" s="245"/>
      <c r="AR94" s="245"/>
      <c r="AS94" s="245"/>
      <c r="AT94" s="245"/>
      <c r="AU94" s="246"/>
      <c r="AW94" s="29" t="s">
        <v>83</v>
      </c>
      <c r="AX94" s="115" t="s">
        <v>343</v>
      </c>
      <c r="AY94" s="235" t="s">
        <v>285</v>
      </c>
      <c r="AZ94" s="235"/>
      <c r="BA94" s="57">
        <v>0.89</v>
      </c>
      <c r="BB94" s="57">
        <v>3</v>
      </c>
      <c r="BC94" s="57">
        <f>BB94*BA94</f>
        <v>2.67</v>
      </c>
      <c r="BD94" s="57" t="s">
        <v>344</v>
      </c>
      <c r="BE94" s="141" t="s">
        <v>345</v>
      </c>
      <c r="BF94" s="57" t="s">
        <v>346</v>
      </c>
      <c r="BG94" s="249"/>
    </row>
    <row r="95" spans="2:59" ht="330" x14ac:dyDescent="0.2">
      <c r="AK95" s="2" t="s">
        <v>342</v>
      </c>
      <c r="AL95" s="110" t="s">
        <v>181</v>
      </c>
      <c r="AM95" s="111"/>
      <c r="AN95" s="111"/>
      <c r="AO95" s="58" t="s">
        <v>281</v>
      </c>
      <c r="AP95" s="58" t="s">
        <v>282</v>
      </c>
      <c r="AQ95" s="58" t="s">
        <v>283</v>
      </c>
      <c r="AR95" s="247" t="s">
        <v>44</v>
      </c>
      <c r="AS95" s="134" t="s">
        <v>57</v>
      </c>
      <c r="AT95" s="134" t="s">
        <v>75</v>
      </c>
      <c r="AU95" s="248" t="s">
        <v>45</v>
      </c>
      <c r="AW95" s="29" t="s">
        <v>84</v>
      </c>
      <c r="AX95" s="115" t="s">
        <v>347</v>
      </c>
      <c r="AY95" s="235" t="s">
        <v>285</v>
      </c>
      <c r="AZ95" s="235"/>
      <c r="BA95" s="136">
        <v>1.21</v>
      </c>
      <c r="BB95" s="57">
        <v>1</v>
      </c>
      <c r="BC95" s="57">
        <f>BB95*BA95</f>
        <v>1.21</v>
      </c>
      <c r="BD95" s="57" t="s">
        <v>348</v>
      </c>
      <c r="BE95" s="57" t="s">
        <v>349</v>
      </c>
      <c r="BF95" s="57" t="s">
        <v>350</v>
      </c>
      <c r="BG95" s="250"/>
    </row>
    <row r="96" spans="2:59" ht="330" x14ac:dyDescent="0.2">
      <c r="AK96" s="29" t="s">
        <v>83</v>
      </c>
      <c r="AL96" s="115" t="s">
        <v>343</v>
      </c>
      <c r="AM96" s="235" t="s">
        <v>285</v>
      </c>
      <c r="AN96" s="235"/>
      <c r="AO96" s="57">
        <v>0.89</v>
      </c>
      <c r="AP96" s="57">
        <v>6</v>
      </c>
      <c r="AQ96" s="57">
        <f>AP96*AO96</f>
        <v>5.34</v>
      </c>
      <c r="AR96" s="57" t="s">
        <v>344</v>
      </c>
      <c r="AS96" s="141" t="s">
        <v>345</v>
      </c>
      <c r="AT96" s="57" t="s">
        <v>346</v>
      </c>
      <c r="AU96" s="249"/>
      <c r="AW96" s="29" t="s">
        <v>85</v>
      </c>
      <c r="AX96" s="115" t="s">
        <v>351</v>
      </c>
      <c r="AY96" s="235" t="s">
        <v>285</v>
      </c>
      <c r="AZ96" s="235"/>
      <c r="BA96" s="136">
        <v>1.77</v>
      </c>
      <c r="BB96" s="57">
        <v>2</v>
      </c>
      <c r="BC96" s="57">
        <f t="shared" ref="BC96:BC99" si="14">BB96*BA96</f>
        <v>3.54</v>
      </c>
      <c r="BD96" s="57" t="s">
        <v>352</v>
      </c>
      <c r="BE96" s="57" t="s">
        <v>353</v>
      </c>
      <c r="BF96" s="57" t="s">
        <v>354</v>
      </c>
      <c r="BG96" s="250"/>
    </row>
    <row r="97" spans="37:59" ht="330" x14ac:dyDescent="0.2">
      <c r="AK97" s="29" t="s">
        <v>84</v>
      </c>
      <c r="AL97" s="115" t="s">
        <v>347</v>
      </c>
      <c r="AM97" s="235" t="s">
        <v>285</v>
      </c>
      <c r="AN97" s="235"/>
      <c r="AO97" s="136">
        <v>1.21</v>
      </c>
      <c r="AP97" s="57">
        <v>1</v>
      </c>
      <c r="AQ97" s="57">
        <f>AP97*AO97</f>
        <v>1.21</v>
      </c>
      <c r="AR97" s="57" t="s">
        <v>348</v>
      </c>
      <c r="AS97" s="57" t="s">
        <v>349</v>
      </c>
      <c r="AT97" s="57" t="s">
        <v>350</v>
      </c>
      <c r="AU97" s="250"/>
      <c r="AW97" s="29" t="s">
        <v>86</v>
      </c>
      <c r="AX97" s="115" t="s">
        <v>355</v>
      </c>
      <c r="AY97" s="235" t="s">
        <v>285</v>
      </c>
      <c r="AZ97" s="235"/>
      <c r="BA97" s="136">
        <v>3.34</v>
      </c>
      <c r="BB97" s="57">
        <v>1</v>
      </c>
      <c r="BC97" s="57">
        <f t="shared" si="14"/>
        <v>3.34</v>
      </c>
      <c r="BD97" s="57" t="s">
        <v>356</v>
      </c>
      <c r="BE97" s="57" t="s">
        <v>357</v>
      </c>
      <c r="BF97" s="57" t="s">
        <v>358</v>
      </c>
      <c r="BG97" s="250"/>
    </row>
    <row r="98" spans="37:59" ht="330" x14ac:dyDescent="0.2">
      <c r="AK98" s="29" t="s">
        <v>85</v>
      </c>
      <c r="AL98" s="115" t="s">
        <v>351</v>
      </c>
      <c r="AM98" s="235" t="s">
        <v>285</v>
      </c>
      <c r="AN98" s="235"/>
      <c r="AO98" s="136">
        <v>1.77</v>
      </c>
      <c r="AP98" s="57">
        <v>0</v>
      </c>
      <c r="AQ98" s="57">
        <f t="shared" ref="AQ98:AQ106" si="15">AP98*AO98</f>
        <v>0</v>
      </c>
      <c r="AR98" s="57" t="s">
        <v>352</v>
      </c>
      <c r="AS98" s="57" t="s">
        <v>353</v>
      </c>
      <c r="AT98" s="57" t="s">
        <v>354</v>
      </c>
      <c r="AU98" s="250"/>
      <c r="AW98" s="29" t="s">
        <v>87</v>
      </c>
      <c r="AX98" s="115" t="s">
        <v>371</v>
      </c>
      <c r="AY98" s="235" t="s">
        <v>285</v>
      </c>
      <c r="AZ98" s="235"/>
      <c r="BA98" s="136">
        <v>8.5399999999999991</v>
      </c>
      <c r="BB98" s="57">
        <v>1</v>
      </c>
      <c r="BC98" s="57">
        <f t="shared" si="14"/>
        <v>8.5399999999999991</v>
      </c>
      <c r="BD98" s="57" t="s">
        <v>372</v>
      </c>
      <c r="BE98" s="57" t="s">
        <v>373</v>
      </c>
      <c r="BF98" s="57" t="s">
        <v>374</v>
      </c>
      <c r="BG98" s="250"/>
    </row>
    <row r="99" spans="37:59" ht="330" x14ac:dyDescent="0.2">
      <c r="AK99" s="29" t="s">
        <v>86</v>
      </c>
      <c r="AL99" s="115" t="s">
        <v>355</v>
      </c>
      <c r="AM99" s="235" t="s">
        <v>285</v>
      </c>
      <c r="AN99" s="235"/>
      <c r="AO99" s="136">
        <v>3.34</v>
      </c>
      <c r="AP99" s="57">
        <v>3</v>
      </c>
      <c r="AQ99" s="57">
        <f t="shared" si="15"/>
        <v>10.02</v>
      </c>
      <c r="AR99" s="57" t="s">
        <v>356</v>
      </c>
      <c r="AS99" s="57" t="s">
        <v>357</v>
      </c>
      <c r="AT99" s="57" t="s">
        <v>358</v>
      </c>
      <c r="AU99" s="250"/>
      <c r="AW99" s="29" t="s">
        <v>88</v>
      </c>
      <c r="AX99" s="115" t="s">
        <v>375</v>
      </c>
      <c r="AY99" s="235" t="s">
        <v>285</v>
      </c>
      <c r="AZ99" s="235"/>
      <c r="BA99" s="136">
        <v>16.05</v>
      </c>
      <c r="BB99" s="57">
        <v>4</v>
      </c>
      <c r="BC99" s="57">
        <f t="shared" si="14"/>
        <v>64.2</v>
      </c>
      <c r="BD99" s="57" t="s">
        <v>376</v>
      </c>
      <c r="BE99" s="57" t="s">
        <v>377</v>
      </c>
      <c r="BF99" s="57" t="s">
        <v>378</v>
      </c>
      <c r="BG99" s="250"/>
    </row>
    <row r="100" spans="37:59" ht="330" x14ac:dyDescent="0.2">
      <c r="AK100" s="29" t="s">
        <v>87</v>
      </c>
      <c r="AL100" s="115" t="s">
        <v>359</v>
      </c>
      <c r="AM100" s="235" t="s">
        <v>285</v>
      </c>
      <c r="AN100" s="235"/>
      <c r="AO100" s="136">
        <v>3.83</v>
      </c>
      <c r="AP100" s="57">
        <v>2</v>
      </c>
      <c r="AQ100" s="57">
        <f t="shared" si="15"/>
        <v>7.66</v>
      </c>
      <c r="AR100" s="57" t="s">
        <v>360</v>
      </c>
      <c r="AS100" s="57" t="s">
        <v>361</v>
      </c>
      <c r="AT100" s="57" t="s">
        <v>362</v>
      </c>
      <c r="AU100" s="250"/>
      <c r="AW100" s="251"/>
      <c r="AX100" s="73" t="s">
        <v>46</v>
      </c>
      <c r="AY100" s="73"/>
      <c r="AZ100" s="73"/>
      <c r="BA100" s="73"/>
      <c r="BB100" s="64">
        <f>SUM(BB94:BB99)</f>
        <v>12</v>
      </c>
      <c r="BC100" s="238">
        <f>SUM(BC94:BC99)</f>
        <v>83.5</v>
      </c>
      <c r="BD100" s="63"/>
      <c r="BE100" s="252"/>
      <c r="BF100" s="252"/>
      <c r="BG100" s="253"/>
    </row>
    <row r="101" spans="37:59" ht="315" x14ac:dyDescent="0.2">
      <c r="AK101" s="29" t="s">
        <v>88</v>
      </c>
      <c r="AL101" s="115" t="s">
        <v>363</v>
      </c>
      <c r="AM101" s="235" t="s">
        <v>285</v>
      </c>
      <c r="AN101" s="235"/>
      <c r="AO101" s="136">
        <v>5.56</v>
      </c>
      <c r="AP101" s="57">
        <v>2</v>
      </c>
      <c r="AQ101" s="57">
        <f t="shared" si="15"/>
        <v>11.12</v>
      </c>
      <c r="AR101" s="57" t="s">
        <v>364</v>
      </c>
      <c r="AS101" s="57" t="s">
        <v>365</v>
      </c>
      <c r="AT101" s="57" t="s">
        <v>366</v>
      </c>
      <c r="AU101" s="250"/>
      <c r="AW101" s="241" t="s">
        <v>387</v>
      </c>
      <c r="AX101" s="81"/>
      <c r="AY101" s="81"/>
      <c r="AZ101" s="83"/>
      <c r="BA101" s="83"/>
      <c r="BB101" s="83"/>
      <c r="BC101" s="83"/>
      <c r="BD101" s="83"/>
      <c r="BE101" s="110"/>
      <c r="BF101" s="110"/>
      <c r="BG101" s="254"/>
    </row>
    <row r="102" spans="37:59" ht="315" x14ac:dyDescent="0.2">
      <c r="AK102" s="29" t="s">
        <v>89</v>
      </c>
      <c r="AL102" s="115" t="s">
        <v>367</v>
      </c>
      <c r="AM102" s="235" t="s">
        <v>285</v>
      </c>
      <c r="AN102" s="235"/>
      <c r="AO102" s="136">
        <v>6.91</v>
      </c>
      <c r="AP102" s="57">
        <v>0</v>
      </c>
      <c r="AQ102" s="57">
        <f t="shared" si="15"/>
        <v>0</v>
      </c>
      <c r="AR102" s="57" t="s">
        <v>368</v>
      </c>
      <c r="AS102" s="57" t="s">
        <v>369</v>
      </c>
      <c r="AT102" s="57" t="s">
        <v>370</v>
      </c>
      <c r="AU102" s="250"/>
      <c r="AW102" s="29">
        <v>4.0999999999999996</v>
      </c>
      <c r="AX102" s="70" t="s">
        <v>50</v>
      </c>
      <c r="AY102" s="70"/>
      <c r="AZ102" s="70"/>
      <c r="BA102" s="70"/>
      <c r="BB102" s="70"/>
      <c r="BC102" s="70"/>
      <c r="BD102" s="70"/>
      <c r="BE102" s="70"/>
      <c r="BF102" s="70"/>
      <c r="BG102" s="71"/>
    </row>
    <row r="103" spans="37:59" ht="315" x14ac:dyDescent="0.2">
      <c r="AK103" s="29" t="s">
        <v>90</v>
      </c>
      <c r="AL103" s="115" t="s">
        <v>371</v>
      </c>
      <c r="AM103" s="235" t="s">
        <v>285</v>
      </c>
      <c r="AN103" s="235"/>
      <c r="AO103" s="136">
        <v>8.5399999999999991</v>
      </c>
      <c r="AP103" s="57">
        <v>2</v>
      </c>
      <c r="AQ103" s="57">
        <f t="shared" si="15"/>
        <v>17.079999999999998</v>
      </c>
      <c r="AR103" s="57" t="s">
        <v>372</v>
      </c>
      <c r="AS103" s="57" t="s">
        <v>373</v>
      </c>
      <c r="AT103" s="57" t="s">
        <v>374</v>
      </c>
      <c r="AU103" s="250"/>
      <c r="AW103" s="29">
        <v>4.2</v>
      </c>
      <c r="AX103" s="70" t="s">
        <v>388</v>
      </c>
      <c r="AY103" s="70"/>
      <c r="AZ103" s="70"/>
      <c r="BA103" s="70"/>
      <c r="BB103" s="70"/>
      <c r="BC103" s="70"/>
      <c r="BD103" s="70"/>
      <c r="BE103" s="70"/>
      <c r="BF103" s="70"/>
      <c r="BG103" s="71"/>
    </row>
    <row r="104" spans="37:59" ht="315" x14ac:dyDescent="0.2">
      <c r="AK104" s="29" t="s">
        <v>91</v>
      </c>
      <c r="AL104" s="115" t="s">
        <v>375</v>
      </c>
      <c r="AM104" s="235" t="s">
        <v>285</v>
      </c>
      <c r="AN104" s="235"/>
      <c r="AO104" s="136">
        <v>16.05</v>
      </c>
      <c r="AP104" s="57">
        <v>23</v>
      </c>
      <c r="AQ104" s="57">
        <f t="shared" si="15"/>
        <v>369.15000000000003</v>
      </c>
      <c r="AR104" s="57" t="s">
        <v>376</v>
      </c>
      <c r="AS104" s="57" t="s">
        <v>377</v>
      </c>
      <c r="AT104" s="57" t="s">
        <v>378</v>
      </c>
      <c r="AU104" s="250"/>
      <c r="AW104" s="251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9"/>
    </row>
    <row r="105" spans="37:59" ht="315" x14ac:dyDescent="0.2">
      <c r="AK105" s="29" t="s">
        <v>92</v>
      </c>
      <c r="AL105" s="115" t="s">
        <v>379</v>
      </c>
      <c r="AM105" s="235" t="s">
        <v>285</v>
      </c>
      <c r="AN105" s="235"/>
      <c r="AO105" s="136">
        <v>21.89</v>
      </c>
      <c r="AP105" s="57">
        <v>3</v>
      </c>
      <c r="AQ105" s="57">
        <f t="shared" si="15"/>
        <v>65.67</v>
      </c>
      <c r="AR105" s="57" t="s">
        <v>380</v>
      </c>
      <c r="AS105" s="57" t="s">
        <v>381</v>
      </c>
      <c r="AT105" s="57" t="s">
        <v>382</v>
      </c>
      <c r="AU105" s="250"/>
      <c r="AW105" s="251"/>
      <c r="AX105" s="256"/>
      <c r="AY105" s="257"/>
      <c r="AZ105" s="257"/>
      <c r="BA105" s="257"/>
      <c r="BB105" s="257"/>
      <c r="BC105" s="257"/>
      <c r="BD105" s="257"/>
      <c r="BE105" s="258"/>
      <c r="BF105" s="258"/>
      <c r="BG105" s="9"/>
    </row>
    <row r="106" spans="37:59" ht="315" x14ac:dyDescent="0.2">
      <c r="AK106" s="29" t="s">
        <v>93</v>
      </c>
      <c r="AL106" s="115" t="s">
        <v>383</v>
      </c>
      <c r="AM106" s="235" t="s">
        <v>285</v>
      </c>
      <c r="AN106" s="235"/>
      <c r="AO106" s="136">
        <v>38.83</v>
      </c>
      <c r="AP106" s="57">
        <v>1</v>
      </c>
      <c r="AQ106" s="60">
        <f t="shared" si="15"/>
        <v>38.83</v>
      </c>
      <c r="AR106" s="60" t="s">
        <v>384</v>
      </c>
      <c r="AS106" s="60" t="s">
        <v>385</v>
      </c>
      <c r="AT106" s="60" t="s">
        <v>386</v>
      </c>
      <c r="AU106" s="250"/>
      <c r="AW106" s="251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9"/>
    </row>
    <row r="107" spans="37:59" ht="15.75" x14ac:dyDescent="0.2">
      <c r="AK107" s="251"/>
      <c r="AL107" s="73" t="s">
        <v>46</v>
      </c>
      <c r="AM107" s="73"/>
      <c r="AN107" s="73"/>
      <c r="AO107" s="73"/>
      <c r="AP107" s="64">
        <f>SUM(AP96:AP106)</f>
        <v>43</v>
      </c>
      <c r="AQ107" s="238">
        <f>SUM(AQ96:AQ106)</f>
        <v>526.08000000000004</v>
      </c>
      <c r="AR107" s="63"/>
      <c r="AS107" s="252"/>
      <c r="AT107" s="252"/>
      <c r="AU107" s="253"/>
      <c r="AW107" s="142"/>
      <c r="AX107" s="259" t="s">
        <v>389</v>
      </c>
      <c r="AY107" s="260"/>
      <c r="AZ107" s="260"/>
      <c r="BA107" s="260"/>
      <c r="BB107" s="260"/>
      <c r="BC107" s="260"/>
      <c r="BD107" s="261"/>
      <c r="BE107" s="209" t="s">
        <v>141</v>
      </c>
      <c r="BF107" s="210">
        <v>45454</v>
      </c>
      <c r="BG107" s="262"/>
    </row>
    <row r="108" spans="37:59" ht="16.5" thickBot="1" x14ac:dyDescent="0.25">
      <c r="AK108" s="241" t="s">
        <v>387</v>
      </c>
      <c r="AL108" s="81"/>
      <c r="AM108" s="81"/>
      <c r="AN108" s="83"/>
      <c r="AO108" s="83"/>
      <c r="AP108" s="83"/>
      <c r="AQ108" s="83"/>
      <c r="AR108" s="83"/>
      <c r="AS108" s="110"/>
      <c r="AT108" s="110"/>
      <c r="AU108" s="254"/>
      <c r="AW108" s="138"/>
      <c r="AX108" s="263"/>
      <c r="AY108" s="263"/>
      <c r="AZ108" s="263"/>
      <c r="BA108" s="263"/>
      <c r="BB108" s="263"/>
      <c r="BC108" s="263"/>
      <c r="BD108" s="263"/>
      <c r="BE108" s="263"/>
      <c r="BF108" s="263"/>
      <c r="BG108" s="140"/>
    </row>
    <row r="109" spans="37:59" ht="15" x14ac:dyDescent="0.2">
      <c r="AK109" s="29">
        <v>4.0999999999999996</v>
      </c>
      <c r="AL109" s="70" t="s">
        <v>50</v>
      </c>
      <c r="AM109" s="70"/>
      <c r="AN109" s="70"/>
      <c r="AO109" s="70"/>
      <c r="AP109" s="70"/>
      <c r="AQ109" s="70"/>
      <c r="AR109" s="70"/>
      <c r="AS109" s="70"/>
      <c r="AT109" s="70"/>
      <c r="AU109" s="71"/>
    </row>
    <row r="110" spans="37:59" ht="15" x14ac:dyDescent="0.2">
      <c r="AK110" s="29">
        <v>4.2</v>
      </c>
      <c r="AL110" s="70" t="s">
        <v>388</v>
      </c>
      <c r="AM110" s="70"/>
      <c r="AN110" s="70"/>
      <c r="AO110" s="70"/>
      <c r="AP110" s="70"/>
      <c r="AQ110" s="70"/>
      <c r="AR110" s="70"/>
      <c r="AS110" s="70"/>
      <c r="AT110" s="70"/>
      <c r="AU110" s="71"/>
    </row>
    <row r="111" spans="37:59" ht="15" x14ac:dyDescent="0.2">
      <c r="AK111" s="251"/>
      <c r="AL111" s="255"/>
      <c r="AM111" s="255"/>
      <c r="AN111" s="255"/>
      <c r="AO111" s="255"/>
      <c r="AP111" s="255"/>
      <c r="AQ111" s="255"/>
      <c r="AR111" s="255"/>
      <c r="AS111" s="255"/>
      <c r="AT111" s="255"/>
      <c r="AU111" s="9"/>
    </row>
    <row r="112" spans="37:59" ht="15" x14ac:dyDescent="0.2">
      <c r="AK112" s="251"/>
      <c r="AL112" s="256"/>
      <c r="AM112" s="257"/>
      <c r="AN112" s="257"/>
      <c r="AO112" s="257"/>
      <c r="AP112" s="257"/>
      <c r="AQ112" s="257"/>
      <c r="AR112" s="257"/>
      <c r="AS112" s="258"/>
      <c r="AT112" s="258"/>
      <c r="AU112" s="9"/>
    </row>
    <row r="113" spans="37:47" ht="15" x14ac:dyDescent="0.2">
      <c r="AK113" s="251"/>
      <c r="AL113" s="255"/>
      <c r="AM113" s="255"/>
      <c r="AN113" s="255"/>
      <c r="AO113" s="255"/>
      <c r="AP113" s="255"/>
      <c r="AQ113" s="255"/>
      <c r="AR113" s="255"/>
      <c r="AS113" s="255"/>
      <c r="AT113" s="255"/>
      <c r="AU113" s="9"/>
    </row>
    <row r="114" spans="37:47" x14ac:dyDescent="0.2">
      <c r="AK114" s="142"/>
      <c r="AL114" s="259" t="s">
        <v>389</v>
      </c>
      <c r="AM114" s="260"/>
      <c r="AN114" s="260"/>
      <c r="AO114" s="260"/>
      <c r="AP114" s="260"/>
      <c r="AQ114" s="260"/>
      <c r="AR114" s="261"/>
      <c r="AS114" s="209" t="s">
        <v>79</v>
      </c>
      <c r="AT114" s="210" t="str">
        <f>AR62</f>
        <v>08.05.2024</v>
      </c>
      <c r="AU114" s="262"/>
    </row>
    <row r="115" spans="37:47" ht="13.5" thickBot="1" x14ac:dyDescent="0.25">
      <c r="AK115" s="138"/>
      <c r="AL115" s="263"/>
      <c r="AM115" s="263"/>
      <c r="AN115" s="263"/>
      <c r="AO115" s="263"/>
      <c r="AP115" s="263"/>
      <c r="AQ115" s="263"/>
      <c r="AR115" s="263"/>
      <c r="AS115" s="263"/>
      <c r="AT115" s="263"/>
      <c r="AU115" s="140"/>
    </row>
  </sheetData>
  <mergeCells count="457">
    <mergeCell ref="AX105:BD105"/>
    <mergeCell ref="AX107:BD107"/>
    <mergeCell ref="AX100:BA100"/>
    <mergeCell ref="AW101:AY101"/>
    <mergeCell ref="AZ101:BG101"/>
    <mergeCell ref="AX102:BG102"/>
    <mergeCell ref="AX103:BG103"/>
    <mergeCell ref="AX95:AZ95"/>
    <mergeCell ref="AX96:AZ96"/>
    <mergeCell ref="AX97:AZ97"/>
    <mergeCell ref="AX98:AZ98"/>
    <mergeCell ref="AX99:AZ99"/>
    <mergeCell ref="AX90:BG90"/>
    <mergeCell ref="AX91:BG91"/>
    <mergeCell ref="AX92:BG92"/>
    <mergeCell ref="AX93:AZ93"/>
    <mergeCell ref="AX94:AZ94"/>
    <mergeCell ref="AX86:BA86"/>
    <mergeCell ref="AW87:AY87"/>
    <mergeCell ref="AZ87:BG87"/>
    <mergeCell ref="AW88:BG88"/>
    <mergeCell ref="AX89:BG89"/>
    <mergeCell ref="AX81:AZ81"/>
    <mergeCell ref="AX82:AZ82"/>
    <mergeCell ref="AX83:AZ83"/>
    <mergeCell ref="AX84:AZ84"/>
    <mergeCell ref="AX85:AZ85"/>
    <mergeCell ref="AX76:AZ76"/>
    <mergeCell ref="AX77:AZ77"/>
    <mergeCell ref="AX78:AZ78"/>
    <mergeCell ref="AX79:AZ79"/>
    <mergeCell ref="AX80:AZ80"/>
    <mergeCell ref="AX71:BG71"/>
    <mergeCell ref="AX72:BG72"/>
    <mergeCell ref="AX73:BG73"/>
    <mergeCell ref="AX74:AZ74"/>
    <mergeCell ref="AX75:AZ75"/>
    <mergeCell ref="AL114:AR114"/>
    <mergeCell ref="AW60:AY61"/>
    <mergeCell ref="AZ60:BC64"/>
    <mergeCell ref="BD60:BG60"/>
    <mergeCell ref="AX62:AY62"/>
    <mergeCell ref="AX63:AY63"/>
    <mergeCell ref="BD63:BG64"/>
    <mergeCell ref="AX64:AY64"/>
    <mergeCell ref="AW65:BG65"/>
    <mergeCell ref="AW66:AY66"/>
    <mergeCell ref="AZ66:BG66"/>
    <mergeCell ref="AX67:BG67"/>
    <mergeCell ref="AW68:AY68"/>
    <mergeCell ref="AZ68:BG68"/>
    <mergeCell ref="AW69:BG69"/>
    <mergeCell ref="AX70:BG70"/>
    <mergeCell ref="AK108:AM108"/>
    <mergeCell ref="AN108:AU108"/>
    <mergeCell ref="AL109:AU109"/>
    <mergeCell ref="AL110:AU110"/>
    <mergeCell ref="AL112:AR112"/>
    <mergeCell ref="AL103:AN103"/>
    <mergeCell ref="AL104:AN104"/>
    <mergeCell ref="AL105:AN105"/>
    <mergeCell ref="AL106:AN106"/>
    <mergeCell ref="AL107:AO107"/>
    <mergeCell ref="AL98:AN98"/>
    <mergeCell ref="AL99:AN99"/>
    <mergeCell ref="AL100:AN100"/>
    <mergeCell ref="AL101:AN101"/>
    <mergeCell ref="AL102:AN102"/>
    <mergeCell ref="AL93:AU93"/>
    <mergeCell ref="AL94:AU94"/>
    <mergeCell ref="AL95:AN95"/>
    <mergeCell ref="AL96:AN96"/>
    <mergeCell ref="AL97:AN97"/>
    <mergeCell ref="AK89:AM89"/>
    <mergeCell ref="AN89:AU89"/>
    <mergeCell ref="AK90:AU90"/>
    <mergeCell ref="AL91:AU91"/>
    <mergeCell ref="AL92:AU92"/>
    <mergeCell ref="AL84:AN84"/>
    <mergeCell ref="AL85:AN85"/>
    <mergeCell ref="AL86:AN86"/>
    <mergeCell ref="AL87:AN87"/>
    <mergeCell ref="AL88:AO88"/>
    <mergeCell ref="AL79:AN79"/>
    <mergeCell ref="AL80:AN80"/>
    <mergeCell ref="AL81:AN81"/>
    <mergeCell ref="AL82:AN82"/>
    <mergeCell ref="AL83:AN83"/>
    <mergeCell ref="AL74:AN74"/>
    <mergeCell ref="AL75:AN75"/>
    <mergeCell ref="AL76:AN76"/>
    <mergeCell ref="AL77:AN77"/>
    <mergeCell ref="AL78:AN78"/>
    <mergeCell ref="AK69:AU69"/>
    <mergeCell ref="AL70:AU70"/>
    <mergeCell ref="AL71:AU71"/>
    <mergeCell ref="AL72:AU72"/>
    <mergeCell ref="AL73:AU73"/>
    <mergeCell ref="AK65:AU65"/>
    <mergeCell ref="AK66:AM66"/>
    <mergeCell ref="AN66:AU66"/>
    <mergeCell ref="AL67:AU67"/>
    <mergeCell ref="AK68:AM68"/>
    <mergeCell ref="AN68:AU68"/>
    <mergeCell ref="AR60:AU60"/>
    <mergeCell ref="AL62:AM62"/>
    <mergeCell ref="AL63:AM63"/>
    <mergeCell ref="AR63:AU64"/>
    <mergeCell ref="AL64:AM64"/>
    <mergeCell ref="Z87:AB87"/>
    <mergeCell ref="AH87:AI87"/>
    <mergeCell ref="AA88:AI88"/>
    <mergeCell ref="AA89:AI89"/>
    <mergeCell ref="AA91:AG91"/>
    <mergeCell ref="AH82:AI82"/>
    <mergeCell ref="AH83:AI83"/>
    <mergeCell ref="AH84:AI84"/>
    <mergeCell ref="AA86:AD86"/>
    <mergeCell ref="AH86:AI86"/>
    <mergeCell ref="AH75:AI75"/>
    <mergeCell ref="AH76:AI76"/>
    <mergeCell ref="AH77:AI77"/>
    <mergeCell ref="AH80:AI80"/>
    <mergeCell ref="AH81:AI81"/>
    <mergeCell ref="AA71:AI71"/>
    <mergeCell ref="AA72:AI72"/>
    <mergeCell ref="AA73:AI73"/>
    <mergeCell ref="AA74:AC74"/>
    <mergeCell ref="AH74:AI74"/>
    <mergeCell ref="P91:V91"/>
    <mergeCell ref="Z60:AB61"/>
    <mergeCell ref="AC60:AE64"/>
    <mergeCell ref="AF60:AI60"/>
    <mergeCell ref="AA62:AB62"/>
    <mergeCell ref="AA63:AB63"/>
    <mergeCell ref="AF63:AI64"/>
    <mergeCell ref="AA64:AB64"/>
    <mergeCell ref="Z65:AI65"/>
    <mergeCell ref="Z66:AB66"/>
    <mergeCell ref="AC66:AI66"/>
    <mergeCell ref="AA67:AI67"/>
    <mergeCell ref="Z68:AB68"/>
    <mergeCell ref="AC68:AI68"/>
    <mergeCell ref="Z69:AI69"/>
    <mergeCell ref="AA70:AI70"/>
    <mergeCell ref="P86:S86"/>
    <mergeCell ref="O87:Q87"/>
    <mergeCell ref="W87:X87"/>
    <mergeCell ref="P88:X88"/>
    <mergeCell ref="P89:X89"/>
    <mergeCell ref="W81:X81"/>
    <mergeCell ref="W82:X82"/>
    <mergeCell ref="W83:X83"/>
    <mergeCell ref="W84:X84"/>
    <mergeCell ref="W85:X85"/>
    <mergeCell ref="W75:X75"/>
    <mergeCell ref="W77:X77"/>
    <mergeCell ref="W78:X78"/>
    <mergeCell ref="W79:X79"/>
    <mergeCell ref="W80:X80"/>
    <mergeCell ref="P71:X71"/>
    <mergeCell ref="P72:X72"/>
    <mergeCell ref="P73:X73"/>
    <mergeCell ref="P74:R74"/>
    <mergeCell ref="W74:X74"/>
    <mergeCell ref="C88:M88"/>
    <mergeCell ref="C89:M89"/>
    <mergeCell ref="C91:I91"/>
    <mergeCell ref="L91:M91"/>
    <mergeCell ref="O60:Q61"/>
    <mergeCell ref="P62:Q62"/>
    <mergeCell ref="P63:Q63"/>
    <mergeCell ref="P64:Q64"/>
    <mergeCell ref="O65:X65"/>
    <mergeCell ref="O66:Q66"/>
    <mergeCell ref="R66:X66"/>
    <mergeCell ref="P67:X67"/>
    <mergeCell ref="O68:Q68"/>
    <mergeCell ref="R68:X68"/>
    <mergeCell ref="O69:X69"/>
    <mergeCell ref="P70:X70"/>
    <mergeCell ref="L83:M83"/>
    <mergeCell ref="L84:M84"/>
    <mergeCell ref="C86:F86"/>
    <mergeCell ref="L86:M86"/>
    <mergeCell ref="B87:D87"/>
    <mergeCell ref="L87:M87"/>
    <mergeCell ref="L78:M78"/>
    <mergeCell ref="L79:M79"/>
    <mergeCell ref="L80:M80"/>
    <mergeCell ref="L81:M81"/>
    <mergeCell ref="L82:M82"/>
    <mergeCell ref="C74:E74"/>
    <mergeCell ref="L74:M74"/>
    <mergeCell ref="L75:M75"/>
    <mergeCell ref="L76:M76"/>
    <mergeCell ref="L77:M77"/>
    <mergeCell ref="B69:M69"/>
    <mergeCell ref="C70:M70"/>
    <mergeCell ref="C71:M71"/>
    <mergeCell ref="C72:M72"/>
    <mergeCell ref="C73:M73"/>
    <mergeCell ref="B65:M65"/>
    <mergeCell ref="B66:D66"/>
    <mergeCell ref="E66:M66"/>
    <mergeCell ref="C67:M67"/>
    <mergeCell ref="B68:D68"/>
    <mergeCell ref="E68:M68"/>
    <mergeCell ref="BE27:BO27"/>
    <mergeCell ref="BE28:BO28"/>
    <mergeCell ref="BE30:BN30"/>
    <mergeCell ref="BE32:BJ32"/>
    <mergeCell ref="B60:D61"/>
    <mergeCell ref="E60:G64"/>
    <mergeCell ref="H60:M60"/>
    <mergeCell ref="C62:D62"/>
    <mergeCell ref="C63:D63"/>
    <mergeCell ref="H63:M64"/>
    <mergeCell ref="C64:D64"/>
    <mergeCell ref="R60:T64"/>
    <mergeCell ref="U60:X60"/>
    <mergeCell ref="U63:X64"/>
    <mergeCell ref="AK60:AM61"/>
    <mergeCell ref="AN60:AQ64"/>
    <mergeCell ref="BE22:BO22"/>
    <mergeCell ref="BE23:BO23"/>
    <mergeCell ref="BE24:BO24"/>
    <mergeCell ref="BE25:BO25"/>
    <mergeCell ref="BD26:BO26"/>
    <mergeCell ref="BN19:BO19"/>
    <mergeCell ref="BE20:BG20"/>
    <mergeCell ref="BH20:BJ20"/>
    <mergeCell ref="BN20:BO20"/>
    <mergeCell ref="BD21:BO21"/>
    <mergeCell ref="BE15:BO15"/>
    <mergeCell ref="BD16:BE16"/>
    <mergeCell ref="BF16:BO16"/>
    <mergeCell ref="BE17:BO17"/>
    <mergeCell ref="BN18:BO18"/>
    <mergeCell ref="AS35:AY35"/>
    <mergeCell ref="AR37:AW37"/>
    <mergeCell ref="BD2:BE3"/>
    <mergeCell ref="BF2:BI6"/>
    <mergeCell ref="BJ2:BO2"/>
    <mergeCell ref="BJ5:BO6"/>
    <mergeCell ref="BD7:BO7"/>
    <mergeCell ref="BE8:BO8"/>
    <mergeCell ref="BD9:BE9"/>
    <mergeCell ref="BF9:BO9"/>
    <mergeCell ref="BE10:BO10"/>
    <mergeCell ref="BD11:BE11"/>
    <mergeCell ref="BF11:BO11"/>
    <mergeCell ref="BE12:BO12"/>
    <mergeCell ref="BE13:BO13"/>
    <mergeCell ref="BE14:BO14"/>
    <mergeCell ref="AQ29:BB29"/>
    <mergeCell ref="AR30:BB30"/>
    <mergeCell ref="AQ31:BB31"/>
    <mergeCell ref="AR32:BB32"/>
    <mergeCell ref="AR33:BB33"/>
    <mergeCell ref="BA25:BB25"/>
    <mergeCell ref="BA26:BB26"/>
    <mergeCell ref="BA27:BB27"/>
    <mergeCell ref="AR28:AT28"/>
    <mergeCell ref="AU28:AW28"/>
    <mergeCell ref="BA28:BB28"/>
    <mergeCell ref="AR22:AT22"/>
    <mergeCell ref="BA22:BB22"/>
    <mergeCell ref="AR23:AT23"/>
    <mergeCell ref="AX23:BB23"/>
    <mergeCell ref="AR24:BB24"/>
    <mergeCell ref="AR19:AT19"/>
    <mergeCell ref="BA19:BB19"/>
    <mergeCell ref="AR20:AT20"/>
    <mergeCell ref="BA20:BB20"/>
    <mergeCell ref="AR21:AT21"/>
    <mergeCell ref="BA21:BB21"/>
    <mergeCell ref="AR15:BB15"/>
    <mergeCell ref="AQ16:AR16"/>
    <mergeCell ref="AS16:BB16"/>
    <mergeCell ref="AR17:BB17"/>
    <mergeCell ref="AR18:AT18"/>
    <mergeCell ref="BA18:BB18"/>
    <mergeCell ref="AE34:AM34"/>
    <mergeCell ref="AE36:AJ36"/>
    <mergeCell ref="AQ2:AR3"/>
    <mergeCell ref="AS2:AV6"/>
    <mergeCell ref="AW2:BB2"/>
    <mergeCell ref="AW5:BB6"/>
    <mergeCell ref="AQ7:BB7"/>
    <mergeCell ref="AR8:BB8"/>
    <mergeCell ref="AQ9:AR9"/>
    <mergeCell ref="AS9:BB9"/>
    <mergeCell ref="AR10:BB10"/>
    <mergeCell ref="AQ11:AR11"/>
    <mergeCell ref="AS11:BB11"/>
    <mergeCell ref="AR12:BB12"/>
    <mergeCell ref="AR13:BB13"/>
    <mergeCell ref="AR14:BB14"/>
    <mergeCell ref="AE28:AO28"/>
    <mergeCell ref="AE29:AO29"/>
    <mergeCell ref="AD30:AO30"/>
    <mergeCell ref="AE31:AO31"/>
    <mergeCell ref="AE32:AO32"/>
    <mergeCell ref="AE24:AG24"/>
    <mergeCell ref="AK24:AO24"/>
    <mergeCell ref="AD25:AO25"/>
    <mergeCell ref="AE26:AO26"/>
    <mergeCell ref="AE27:AO27"/>
    <mergeCell ref="AE21:AO21"/>
    <mergeCell ref="AE22:AG22"/>
    <mergeCell ref="AN22:AO22"/>
    <mergeCell ref="AE23:AG23"/>
    <mergeCell ref="AN23:AO23"/>
    <mergeCell ref="AE16:AO16"/>
    <mergeCell ref="AE17:AO17"/>
    <mergeCell ref="AE18:AO18"/>
    <mergeCell ref="AE19:AO19"/>
    <mergeCell ref="AD20:AE20"/>
    <mergeCell ref="AF20:AO20"/>
    <mergeCell ref="AE12:AO12"/>
    <mergeCell ref="AD13:AE13"/>
    <mergeCell ref="AF13:AO13"/>
    <mergeCell ref="AE14:AO14"/>
    <mergeCell ref="AD15:AE15"/>
    <mergeCell ref="AF15:AO15"/>
    <mergeCell ref="AD6:AE7"/>
    <mergeCell ref="AF6:AI10"/>
    <mergeCell ref="AJ6:AO6"/>
    <mergeCell ref="AJ9:AO10"/>
    <mergeCell ref="AD11:AO11"/>
    <mergeCell ref="Q33:AA33"/>
    <mergeCell ref="P34:AA34"/>
    <mergeCell ref="Q35:AA35"/>
    <mergeCell ref="Q36:AA36"/>
    <mergeCell ref="Q38:V38"/>
    <mergeCell ref="Q30:S30"/>
    <mergeCell ref="Z30:AA30"/>
    <mergeCell ref="Q31:S31"/>
    <mergeCell ref="W31:AA31"/>
    <mergeCell ref="P32:AA32"/>
    <mergeCell ref="Q27:S27"/>
    <mergeCell ref="Z27:AA27"/>
    <mergeCell ref="Q28:S28"/>
    <mergeCell ref="Z28:AA28"/>
    <mergeCell ref="Q29:S29"/>
    <mergeCell ref="Z29:AA29"/>
    <mergeCell ref="Q24:S24"/>
    <mergeCell ref="Z24:AA24"/>
    <mergeCell ref="Q25:S25"/>
    <mergeCell ref="Z25:AA25"/>
    <mergeCell ref="Q26:S26"/>
    <mergeCell ref="Z26:AA26"/>
    <mergeCell ref="Q21:S21"/>
    <mergeCell ref="Z21:AA21"/>
    <mergeCell ref="Q22:S22"/>
    <mergeCell ref="Z22:AA22"/>
    <mergeCell ref="Q23:S23"/>
    <mergeCell ref="Z23:AA23"/>
    <mergeCell ref="Z18:AA18"/>
    <mergeCell ref="Q19:S19"/>
    <mergeCell ref="Z19:AA19"/>
    <mergeCell ref="Q20:S20"/>
    <mergeCell ref="Z20:AA20"/>
    <mergeCell ref="V2:AA2"/>
    <mergeCell ref="V5:AA6"/>
    <mergeCell ref="P7:AA7"/>
    <mergeCell ref="Q8:AA8"/>
    <mergeCell ref="P9:Q9"/>
    <mergeCell ref="R9:AA9"/>
    <mergeCell ref="P2:Q3"/>
    <mergeCell ref="R2:U6"/>
    <mergeCell ref="Q10:AA10"/>
    <mergeCell ref="P11:Q11"/>
    <mergeCell ref="R11:AA11"/>
    <mergeCell ref="Q12:AA12"/>
    <mergeCell ref="Q13:AA13"/>
    <mergeCell ref="Q14:AA14"/>
    <mergeCell ref="Q15:AA15"/>
    <mergeCell ref="P16:Q16"/>
    <mergeCell ref="R16:AA16"/>
    <mergeCell ref="Q17:AA17"/>
    <mergeCell ref="Q18:S18"/>
    <mergeCell ref="L37:M37"/>
    <mergeCell ref="L41:M41"/>
    <mergeCell ref="C40:M40"/>
    <mergeCell ref="C43:E43"/>
    <mergeCell ref="F39:H39"/>
    <mergeCell ref="F43:H43"/>
    <mergeCell ref="L42:M42"/>
    <mergeCell ref="L43:M43"/>
    <mergeCell ref="L38:M38"/>
    <mergeCell ref="C39:E39"/>
    <mergeCell ref="L39:M39"/>
    <mergeCell ref="B44:M44"/>
    <mergeCell ref="B49:M49"/>
    <mergeCell ref="C45:M45"/>
    <mergeCell ref="C50:M50"/>
    <mergeCell ref="C47:M47"/>
    <mergeCell ref="C34:M34"/>
    <mergeCell ref="L35:M35"/>
    <mergeCell ref="L36:M36"/>
    <mergeCell ref="I33:M33"/>
    <mergeCell ref="C33:E33"/>
    <mergeCell ref="C14:M14"/>
    <mergeCell ref="B2:C3"/>
    <mergeCell ref="D2:G6"/>
    <mergeCell ref="H2:M2"/>
    <mergeCell ref="H5:M6"/>
    <mergeCell ref="B7:M7"/>
    <mergeCell ref="B9:C9"/>
    <mergeCell ref="D9:M9"/>
    <mergeCell ref="C10:M10"/>
    <mergeCell ref="B11:C11"/>
    <mergeCell ref="D11:M11"/>
    <mergeCell ref="C12:M12"/>
    <mergeCell ref="C13:M13"/>
    <mergeCell ref="C15:M15"/>
    <mergeCell ref="B16:C16"/>
    <mergeCell ref="D16:M16"/>
    <mergeCell ref="C17:M17"/>
    <mergeCell ref="C18:E18"/>
    <mergeCell ref="L18:M18"/>
    <mergeCell ref="L19:M19"/>
    <mergeCell ref="C19:E19"/>
    <mergeCell ref="C21:E21"/>
    <mergeCell ref="L21:M21"/>
    <mergeCell ref="C22:E22"/>
    <mergeCell ref="L22:M22"/>
    <mergeCell ref="L20:M20"/>
    <mergeCell ref="C20:E20"/>
    <mergeCell ref="L30:M30"/>
    <mergeCell ref="C31:E31"/>
    <mergeCell ref="L31:M31"/>
    <mergeCell ref="C23:E23"/>
    <mergeCell ref="L23:M23"/>
    <mergeCell ref="C24:E24"/>
    <mergeCell ref="L24:M24"/>
    <mergeCell ref="C25:E25"/>
    <mergeCell ref="L25:M25"/>
    <mergeCell ref="L29:M29"/>
    <mergeCell ref="C55:H55"/>
    <mergeCell ref="C46:M46"/>
    <mergeCell ref="C48:M48"/>
    <mergeCell ref="D53:J53"/>
    <mergeCell ref="C8:M8"/>
    <mergeCell ref="C51:M51"/>
    <mergeCell ref="C28:E28"/>
    <mergeCell ref="L28:M28"/>
    <mergeCell ref="C26:E26"/>
    <mergeCell ref="L26:M26"/>
    <mergeCell ref="C27:E27"/>
    <mergeCell ref="L27:M27"/>
    <mergeCell ref="C32:E32"/>
    <mergeCell ref="L32:M32"/>
    <mergeCell ref="C29:E29"/>
    <mergeCell ref="C30:E30"/>
  </mergeCells>
  <phoneticPr fontId="10" type="noConversion"/>
  <printOptions horizontalCentered="1"/>
  <pageMargins left="0.51181102362204722" right="0.51181102362204722" top="0.98425196850393704" bottom="0.98425196850393704" header="0.51181102362204722" footer="0.51181102362204722"/>
  <pageSetup scale="33" fitToHeight="3" orientation="portrait" r:id="rId1"/>
  <headerFooter alignWithMargins="0">
    <oddFooter xml:space="preserve">&amp;LABHISHEK
Prepared By
&amp;CPavan
Checked By
Sheet &amp;P&amp;RYD/KK
Approved By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user109</dc:creator>
  <cp:lastModifiedBy>Abhishek Naik</cp:lastModifiedBy>
  <cp:lastPrinted>2020-11-26T06:14:59Z</cp:lastPrinted>
  <dcterms:created xsi:type="dcterms:W3CDTF">2008-01-15T10:19:33Z</dcterms:created>
  <dcterms:modified xsi:type="dcterms:W3CDTF">2026-09-18T06:05:14Z</dcterms:modified>
</cp:coreProperties>
</file>